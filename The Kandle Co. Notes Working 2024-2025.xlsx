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9BEB032-0A0E-48FD-82A2-E112CE25117D}" xr6:coauthVersionLast="47" xr6:coauthVersionMax="47" xr10:uidLastSave="{00000000-0000-0000-0000-000000000000}"/>
  <bookViews>
    <workbookView xWindow="-120" yWindow="-120" windowWidth="19440" windowHeight="15000" xr2:uid="{52A2BC62-8493-4C02-BFCD-859F6848AD57}"/>
  </bookViews>
  <sheets>
    <sheet name="CGS" sheetId="1" r:id="rId1"/>
    <sheet name="Manufacturing Cost Data" sheetId="3" r:id="rId2"/>
    <sheet name="Notes" sheetId="2" r:id="rId3"/>
    <sheet name="Items Name &amp; Price" sheetId="4" r:id="rId4"/>
  </sheets>
  <externalReferences>
    <externalReference r:id="rId5"/>
  </externalReferences>
  <definedNames>
    <definedName name="_xlnm._FilterDatabase" localSheetId="0" hidden="1">CGS!$A$7:$H$7</definedName>
    <definedName name="_xlnm._FilterDatabase" localSheetId="1" hidden="1">'Manufacturing Cost Data'!$A$1:$Q$43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" i="1"/>
  <c r="E966" i="1"/>
  <c r="F965" i="1"/>
  <c r="D966" i="1"/>
  <c r="F964" i="1"/>
  <c r="F963" i="1"/>
  <c r="J43" i="3"/>
  <c r="J42" i="3"/>
  <c r="K42" i="3" s="1"/>
  <c r="M42" i="3" s="1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K20" i="3" s="1"/>
  <c r="M20" i="3" s="1"/>
  <c r="J19" i="3"/>
  <c r="J18" i="3"/>
  <c r="J17" i="3"/>
  <c r="J16" i="3"/>
  <c r="J15" i="3"/>
  <c r="J14" i="3"/>
  <c r="J13" i="3"/>
  <c r="J12" i="3"/>
  <c r="J11" i="3"/>
  <c r="J10" i="3"/>
  <c r="J9" i="3"/>
  <c r="J8" i="3"/>
  <c r="K8" i="3" s="1"/>
  <c r="M8" i="3" s="1"/>
  <c r="J7" i="3"/>
  <c r="J6" i="3"/>
  <c r="J5" i="3"/>
  <c r="J4" i="3"/>
  <c r="J3" i="3"/>
  <c r="J2" i="3"/>
  <c r="K2" i="3" l="1"/>
  <c r="M2" i="3" s="1"/>
  <c r="K37" i="3"/>
  <c r="M37" i="3" s="1"/>
  <c r="K14" i="3"/>
  <c r="M14" i="3" s="1"/>
  <c r="Q5" i="3" s="1"/>
  <c r="K26" i="3"/>
  <c r="M26" i="3" s="1"/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6" i="1" l="1"/>
  <c r="T116" i="2"/>
  <c r="F115" i="2"/>
  <c r="F114" i="2"/>
  <c r="F113" i="2"/>
  <c r="F112" i="2"/>
  <c r="F110" i="2"/>
  <c r="F109" i="2"/>
  <c r="F108" i="2"/>
  <c r="F107" i="2"/>
  <c r="F106" i="2"/>
  <c r="J99" i="2"/>
  <c r="J102" i="2" s="1"/>
  <c r="J92" i="2"/>
  <c r="J96" i="2" s="1"/>
  <c r="M89" i="2"/>
  <c r="J89" i="2"/>
  <c r="J88" i="2"/>
  <c r="J87" i="2"/>
  <c r="M87" i="2" s="1"/>
  <c r="M86" i="2"/>
  <c r="J86" i="2"/>
  <c r="C86" i="2"/>
  <c r="J83" i="2"/>
  <c r="C83" i="2"/>
  <c r="J82" i="2"/>
  <c r="M82" i="2" s="1"/>
  <c r="C82" i="2"/>
  <c r="J81" i="2"/>
  <c r="M81" i="2" s="1"/>
  <c r="J80" i="2"/>
  <c r="J78" i="2"/>
  <c r="J77" i="2"/>
  <c r="J74" i="2"/>
  <c r="M74" i="2" s="1"/>
  <c r="C74" i="2"/>
  <c r="J73" i="2"/>
  <c r="C73" i="2"/>
  <c r="F72" i="2"/>
  <c r="J65" i="2" s="1"/>
  <c r="D72" i="2"/>
  <c r="D70" i="2"/>
  <c r="D68" i="2"/>
  <c r="D67" i="2"/>
  <c r="D66" i="2"/>
  <c r="C65" i="2"/>
  <c r="J63" i="2"/>
  <c r="H61" i="2" s="1"/>
  <c r="Q59" i="2"/>
  <c r="H59" i="2"/>
  <c r="Q58" i="2"/>
  <c r="Q57" i="2"/>
  <c r="H57" i="2"/>
  <c r="Q56" i="2"/>
  <c r="Q55" i="2"/>
  <c r="H55" i="2"/>
  <c r="Q54" i="2"/>
  <c r="H54" i="2"/>
  <c r="Q53" i="2"/>
  <c r="H53" i="2"/>
  <c r="J50" i="2"/>
  <c r="J49" i="2"/>
  <c r="G49" i="2"/>
  <c r="J48" i="2"/>
  <c r="B46" i="2"/>
  <c r="J42" i="2"/>
  <c r="J40" i="2"/>
  <c r="J43" i="2" s="1"/>
  <c r="H42" i="2" s="1"/>
  <c r="J39" i="2"/>
  <c r="C39" i="2"/>
  <c r="J38" i="2"/>
  <c r="C38" i="2"/>
  <c r="C46" i="2" s="1"/>
  <c r="B36" i="2"/>
  <c r="B64" i="2" s="1"/>
  <c r="B91" i="2" s="1"/>
  <c r="B104" i="2" s="1"/>
  <c r="J33" i="2"/>
  <c r="J14" i="2" s="1"/>
  <c r="J29" i="2"/>
  <c r="J28" i="2"/>
  <c r="J27" i="2"/>
  <c r="J26" i="2"/>
  <c r="J25" i="2"/>
  <c r="J24" i="2"/>
  <c r="J23" i="2"/>
  <c r="J22" i="2"/>
  <c r="J21" i="2"/>
  <c r="J20" i="2"/>
  <c r="J19" i="2"/>
  <c r="C19" i="2"/>
  <c r="C18" i="2"/>
  <c r="B18" i="2"/>
  <c r="J12" i="2"/>
  <c r="J8" i="2"/>
  <c r="J6" i="2"/>
  <c r="B4" i="2"/>
  <c r="J2" i="2"/>
  <c r="J10" i="2" l="1"/>
  <c r="H62" i="2"/>
  <c r="B45" i="2"/>
  <c r="H56" i="2"/>
  <c r="H58" i="2"/>
  <c r="H63" i="2" s="1"/>
  <c r="H60" i="2"/>
  <c r="J105" i="2"/>
  <c r="J116" i="2" s="1"/>
  <c r="T115" i="2" s="1"/>
  <c r="T117" i="2" s="1"/>
  <c r="H40" i="2"/>
  <c r="H95" i="2"/>
  <c r="H93" i="2"/>
  <c r="H94" i="2"/>
  <c r="J90" i="2"/>
  <c r="H80" i="2" s="1"/>
  <c r="H101" i="2"/>
  <c r="H99" i="2"/>
  <c r="H102" i="2" s="1"/>
  <c r="H115" i="2"/>
  <c r="H39" i="2"/>
  <c r="H41" i="2"/>
  <c r="J51" i="2"/>
  <c r="H49" i="2" s="1"/>
  <c r="H38" i="2"/>
  <c r="M80" i="2"/>
  <c r="M88" i="2"/>
  <c r="J30" i="2"/>
  <c r="H25" i="2" s="1"/>
  <c r="J34" i="2"/>
  <c r="H33" i="2" s="1"/>
  <c r="H34" i="2" s="1"/>
  <c r="S100" i="2"/>
  <c r="M78" i="2"/>
  <c r="S93" i="2"/>
  <c r="H112" i="2" l="1"/>
  <c r="H88" i="2"/>
  <c r="M90" i="2"/>
  <c r="H109" i="2"/>
  <c r="H106" i="2"/>
  <c r="H114" i="2"/>
  <c r="H110" i="2"/>
  <c r="H107" i="2"/>
  <c r="H19" i="2"/>
  <c r="H65" i="2"/>
  <c r="H113" i="2"/>
  <c r="H78" i="2"/>
  <c r="H108" i="2"/>
  <c r="H73" i="2"/>
  <c r="H111" i="2"/>
  <c r="H43" i="2"/>
  <c r="H82" i="2"/>
  <c r="H96" i="2"/>
  <c r="H50" i="2"/>
  <c r="H48" i="2"/>
  <c r="H89" i="2"/>
  <c r="H27" i="2"/>
  <c r="H28" i="2"/>
  <c r="H22" i="2"/>
  <c r="J13" i="2"/>
  <c r="H26" i="2"/>
  <c r="H24" i="2"/>
  <c r="H20" i="2"/>
  <c r="H86" i="2"/>
  <c r="H87" i="2"/>
  <c r="H79" i="2"/>
  <c r="H77" i="2"/>
  <c r="H29" i="2"/>
  <c r="H81" i="2"/>
  <c r="H23" i="2"/>
  <c r="H74" i="2"/>
  <c r="H83" i="2"/>
  <c r="H21" i="2"/>
  <c r="H116" i="2" l="1"/>
  <c r="H90" i="2"/>
  <c r="H30" i="2"/>
  <c r="H51" i="2"/>
  <c r="J16" i="2"/>
  <c r="H15" i="2" l="1"/>
  <c r="H14" i="2"/>
  <c r="H12" i="2"/>
  <c r="H13" i="2"/>
  <c r="H16" i="2" l="1"/>
</calcChain>
</file>

<file path=xl/sharedStrings.xml><?xml version="1.0" encoding="utf-8"?>
<sst xmlns="http://schemas.openxmlformats.org/spreadsheetml/2006/main" count="4360" uniqueCount="487">
  <si>
    <t>Notes</t>
  </si>
  <si>
    <t>%</t>
  </si>
  <si>
    <t>2024
RUPEES</t>
  </si>
  <si>
    <t>CASH AND BANK BALANCES</t>
  </si>
  <si>
    <t>Cash in hand</t>
  </si>
  <si>
    <t>Cash at bank:</t>
  </si>
  <si>
    <t xml:space="preserve">   - current accounts</t>
  </si>
  <si>
    <t>SALES</t>
  </si>
  <si>
    <t/>
  </si>
  <si>
    <t>Online Sales</t>
  </si>
  <si>
    <t>Stockists Sales</t>
  </si>
  <si>
    <t>Custom Order</t>
  </si>
  <si>
    <t>Exhibition Sales</t>
  </si>
  <si>
    <t>Sales Revenue Lavilla</t>
  </si>
  <si>
    <t>Alfateh-CRST Store</t>
  </si>
  <si>
    <t>Alfateh-DP6N Store</t>
  </si>
  <si>
    <t>Alfateh-ISDC Store</t>
  </si>
  <si>
    <t>Alfateh-RBT Store</t>
  </si>
  <si>
    <t>Sales Kayal</t>
  </si>
  <si>
    <t>Sales  Courtesies</t>
  </si>
  <si>
    <t>Sales Town House</t>
  </si>
  <si>
    <t>Sales kiosk</t>
  </si>
  <si>
    <t xml:space="preserve">Sales Maisan Elan </t>
  </si>
  <si>
    <t>Sales Shams</t>
  </si>
  <si>
    <t>Sales Prime Traders</t>
  </si>
  <si>
    <t xml:space="preserve"> </t>
  </si>
  <si>
    <t>COST OF SALES</t>
  </si>
  <si>
    <t>Cost of Goods Sold</t>
  </si>
  <si>
    <t>Shopify Fee</t>
  </si>
  <si>
    <t>Commission Expense</t>
  </si>
  <si>
    <t>Freight Cost</t>
  </si>
  <si>
    <t>Fee &amp; Subscription</t>
  </si>
  <si>
    <t>COMMISSION EXPENSE</t>
  </si>
  <si>
    <t>COST OF GOODS SOLD</t>
  </si>
  <si>
    <t>LaVilla Commission</t>
  </si>
  <si>
    <t>Al-Fateh-CSRT Commission</t>
  </si>
  <si>
    <t>Al-Fateh-DP6N Commission</t>
  </si>
  <si>
    <t>Al-Fateh-ISDC Commission</t>
  </si>
  <si>
    <t>Al-Fateh-RBT Commission</t>
  </si>
  <si>
    <t>Town House Commission</t>
  </si>
  <si>
    <t>Courtesies Commission</t>
  </si>
  <si>
    <t>Maison Commission</t>
  </si>
  <si>
    <t>Kayal Commission</t>
  </si>
  <si>
    <t>Shams Commission</t>
  </si>
  <si>
    <t>ADMINISTRATIVE EXPENSES</t>
  </si>
  <si>
    <t>Wages &amp; Salaries</t>
  </si>
  <si>
    <t xml:space="preserve">         MUHAMMAD ZUBAIR KAMRAN </t>
  </si>
  <si>
    <t>-</t>
  </si>
  <si>
    <t xml:space="preserve">         MUHAMMAD BABAR </t>
  </si>
  <si>
    <t>ALEENA</t>
  </si>
  <si>
    <t xml:space="preserve">         EHTISHAM AJAZ</t>
  </si>
  <si>
    <t>HASSAN</t>
  </si>
  <si>
    <t xml:space="preserve">         MUHAMMAD MUMTAZ</t>
  </si>
  <si>
    <t>Accounting &amp; Legal</t>
  </si>
  <si>
    <t>Postage &amp; Shipping</t>
  </si>
  <si>
    <t>LEOPARD COURIER</t>
  </si>
  <si>
    <t>Trax Delivery</t>
  </si>
  <si>
    <t>Depreciation Expense</t>
  </si>
  <si>
    <t>Advertising &amp; Promotions</t>
  </si>
  <si>
    <t>Printing &amp; Stationary</t>
  </si>
  <si>
    <t>Travel &amp; Entertainment</t>
  </si>
  <si>
    <t>Interest &amp; Bank</t>
  </si>
  <si>
    <t>LaVilla Card Charges</t>
  </si>
  <si>
    <t>Rent</t>
  </si>
  <si>
    <t>Rent Office</t>
  </si>
  <si>
    <t>Rent Kiosk</t>
  </si>
  <si>
    <t>Internet</t>
  </si>
  <si>
    <t>Electricity Bill</t>
  </si>
  <si>
    <t>Professional Fee-Writing Services</t>
  </si>
  <si>
    <t>Sundary Exp</t>
  </si>
  <si>
    <t>TRADE AND OTHER PAYABLES</t>
  </si>
  <si>
    <t>Accounts Payable</t>
  </si>
  <si>
    <t xml:space="preserve">Sidekick </t>
  </si>
  <si>
    <t>Premium Candle Supplies</t>
  </si>
  <si>
    <t>Creative Solution</t>
  </si>
  <si>
    <t>Loan Family &amp; Akhuwat Islamic</t>
  </si>
  <si>
    <t>Akhuwat Islamic</t>
  </si>
  <si>
    <t>Friends &amp; Family</t>
  </si>
  <si>
    <t>TRADE AND OTHER RECEIVABLE</t>
  </si>
  <si>
    <t>Accounts Receivable</t>
  </si>
  <si>
    <t>Al-Fatah Store</t>
  </si>
  <si>
    <t>Kayal</t>
  </si>
  <si>
    <t>Prime Traders</t>
  </si>
  <si>
    <t>Courtesies</t>
  </si>
  <si>
    <t>LaVilla</t>
  </si>
  <si>
    <t>Esajee's</t>
  </si>
  <si>
    <t>Kiosk</t>
  </si>
  <si>
    <t>Shams</t>
  </si>
  <si>
    <t>Maison Elan</t>
  </si>
  <si>
    <t>Shopify</t>
  </si>
  <si>
    <t>Misc Payment</t>
  </si>
  <si>
    <t>Kayal ISB &amp; KIH</t>
  </si>
  <si>
    <t>Sales Villa Ayun</t>
  </si>
  <si>
    <t>Sales Academy</t>
  </si>
  <si>
    <t>HASSAN NISAR</t>
  </si>
  <si>
    <t>Bookkeeping Fee</t>
  </si>
  <si>
    <t>Tax Filing Fee</t>
  </si>
  <si>
    <t>Google Advertisement</t>
  </si>
  <si>
    <t>Facebook Advertisement</t>
  </si>
  <si>
    <t>Mustafa Saleem Marketing Agency</t>
  </si>
  <si>
    <t>Audit Fee</t>
  </si>
  <si>
    <t>Income Tax Expense</t>
  </si>
  <si>
    <t>Fuel Expense</t>
  </si>
  <si>
    <t>Trade License</t>
  </si>
  <si>
    <t>Packaging Material</t>
  </si>
  <si>
    <t>Samples Expense</t>
  </si>
  <si>
    <t>Medical Exp-Dental Arena</t>
  </si>
  <si>
    <t>Villa Ayun</t>
  </si>
  <si>
    <t>Aug-2024
RUPEES</t>
  </si>
  <si>
    <t>Trade License Sidekick Charges</t>
  </si>
  <si>
    <t>Models for Content Shoot</t>
  </si>
  <si>
    <t>Medical Exp</t>
  </si>
  <si>
    <t>Sales  Esajee</t>
  </si>
  <si>
    <t>Custom Orders</t>
  </si>
  <si>
    <t>Exhibition Fee</t>
  </si>
  <si>
    <t>Esajee Commission</t>
  </si>
  <si>
    <t>Maison Elan Commission</t>
  </si>
  <si>
    <t>Content Creations</t>
  </si>
  <si>
    <t>Marketing Agency</t>
  </si>
  <si>
    <t>Sundry Exp-Dubai Licence</t>
  </si>
  <si>
    <t>Repair &amp; Maintenance</t>
  </si>
  <si>
    <t>Town House</t>
  </si>
  <si>
    <t>Sales Fiorire</t>
  </si>
  <si>
    <t>Sales Coffeemistry</t>
  </si>
  <si>
    <t>Coffeemistry Commission</t>
  </si>
  <si>
    <t>Fiorire Commission</t>
  </si>
  <si>
    <t>Marketing Agency ( SWP )</t>
  </si>
  <si>
    <t>Marketing Agency ( Mustafa Saleem )</t>
  </si>
  <si>
    <t>Sample/ Gift Expense</t>
  </si>
  <si>
    <t>Sundry Expense</t>
  </si>
  <si>
    <t>Packing Material</t>
  </si>
  <si>
    <t>Fiorire</t>
  </si>
  <si>
    <t>Coffeemistry</t>
  </si>
  <si>
    <t>WAGE TO HELPER EVENT SALE</t>
  </si>
  <si>
    <t>Freelancer Payment</t>
  </si>
  <si>
    <t>Office Supplies</t>
  </si>
  <si>
    <t>Gift Purchase</t>
  </si>
  <si>
    <t>Misc Expenses</t>
  </si>
  <si>
    <t>Repair &amp; Maintinance</t>
  </si>
  <si>
    <t>Travel &amp; Entertainment Expense</t>
  </si>
  <si>
    <t>Town House Commision</t>
  </si>
  <si>
    <t>Fiorire Commision</t>
  </si>
  <si>
    <t>Model Shoot</t>
  </si>
  <si>
    <t>Content Creator</t>
  </si>
  <si>
    <t>Marketing Agency SWP</t>
  </si>
  <si>
    <t>Creative Designer Agency</t>
  </si>
  <si>
    <t>Drawing For Mobile Phone and Other Personal Expenses</t>
  </si>
  <si>
    <t>Medical Expense</t>
  </si>
  <si>
    <t>Jan-2025
RUPEES</t>
  </si>
  <si>
    <t>2025
RUPEES</t>
  </si>
  <si>
    <t>Custom Order Sales</t>
  </si>
  <si>
    <t>Sales Esaaji</t>
  </si>
  <si>
    <t>Sales Revenue Triggy Inc</t>
  </si>
  <si>
    <t>Esaaji Commision</t>
  </si>
  <si>
    <t>Triggy Inc Commision</t>
  </si>
  <si>
    <t xml:space="preserve">         HASSAN NISAR</t>
  </si>
  <si>
    <t xml:space="preserve">         WAQAR MEHMOOD</t>
  </si>
  <si>
    <t>Triggy Inc</t>
  </si>
  <si>
    <t>Feb-2025
RUPEES</t>
  </si>
  <si>
    <t>Sales Triggy Inc</t>
  </si>
  <si>
    <t>Sales Kickstart</t>
  </si>
  <si>
    <t>Triggy Inc Commission</t>
  </si>
  <si>
    <t>MUNEEBA</t>
  </si>
  <si>
    <t>Eid Bonus to Employees</t>
  </si>
  <si>
    <t>Professional Charges</t>
  </si>
  <si>
    <t>Personal Expenses Drawings</t>
  </si>
  <si>
    <t>Charity Expense</t>
  </si>
  <si>
    <t>Custom Order- Fahad Hussain Academy</t>
  </si>
  <si>
    <t>March-2025
RUPEES</t>
  </si>
  <si>
    <t>SWP Marketing Agency</t>
  </si>
  <si>
    <t>Office Expenses</t>
  </si>
  <si>
    <t>Misc. Expense( Not identified)</t>
  </si>
  <si>
    <t>April-2025
RUPEES</t>
  </si>
  <si>
    <t>Nishat (Chunian)</t>
  </si>
  <si>
    <t>Sales Revenue-FPL</t>
  </si>
  <si>
    <t>Sale Revenue Esajee</t>
  </si>
  <si>
    <t>Freight Expense</t>
  </si>
  <si>
    <t>FPL Commission</t>
  </si>
  <si>
    <t>Essajee's Commission</t>
  </si>
  <si>
    <t>Social Media, Content, Website,Design Services</t>
  </si>
  <si>
    <t>Interest &amp; Bank Charges</t>
  </si>
  <si>
    <t>FPL</t>
  </si>
  <si>
    <t>May-2025
RUPEES</t>
  </si>
  <si>
    <t>Sales Grub</t>
  </si>
  <si>
    <t>Sales Chunkyard</t>
  </si>
  <si>
    <t>Boxes</t>
  </si>
  <si>
    <t>Shopify Commission</t>
  </si>
  <si>
    <t>Chunkyard Commission</t>
  </si>
  <si>
    <t>Grub Commission</t>
  </si>
  <si>
    <t>Custom Order Commission</t>
  </si>
  <si>
    <t>Staff Eid Bonus</t>
  </si>
  <si>
    <t>Misc. Expense</t>
  </si>
  <si>
    <t>JJ Printer</t>
  </si>
  <si>
    <t>Chunkyard</t>
  </si>
  <si>
    <t>Grub</t>
  </si>
  <si>
    <t>Inventory Movements</t>
  </si>
  <si>
    <t>Print Out Date:</t>
  </si>
  <si>
    <t>23/08/2024  10:56</t>
  </si>
  <si>
    <t>The Kandle Co.</t>
  </si>
  <si>
    <t>Fiscal Year:</t>
  </si>
  <si>
    <t>01/07/2024 - 30/06/2025  (Active)</t>
  </si>
  <si>
    <t>kih.com.pk</t>
  </si>
  <si>
    <t>Period:</t>
  </si>
  <si>
    <t>01/07/2024 - 31/08/2024</t>
  </si>
  <si>
    <t>Administrator</t>
  </si>
  <si>
    <t>Category:</t>
  </si>
  <si>
    <t>Manufactured</t>
  </si>
  <si>
    <t>Location:</t>
  </si>
  <si>
    <t>All</t>
  </si>
  <si>
    <t>Category</t>
  </si>
  <si>
    <t>Description</t>
  </si>
  <si>
    <t>UOM</t>
  </si>
  <si>
    <t>Quantity Out</t>
  </si>
  <si>
    <t>Cost</t>
  </si>
  <si>
    <t>Total Amount</t>
  </si>
  <si>
    <t>7001</t>
  </si>
  <si>
    <t>Burning Firewood-100g</t>
  </si>
  <si>
    <t>each</t>
  </si>
  <si>
    <t>7003</t>
  </si>
  <si>
    <t>Cinnamon Apple-100g</t>
  </si>
  <si>
    <t>7004</t>
  </si>
  <si>
    <t>Citrus Bloom-100g</t>
  </si>
  <si>
    <t>7005</t>
  </si>
  <si>
    <t>Double Shot Espresso-100g</t>
  </si>
  <si>
    <t>7006</t>
  </si>
  <si>
    <t>Flower Bouquet-100g</t>
  </si>
  <si>
    <t>7007</t>
  </si>
  <si>
    <t>Honeysuckle Jasmine-100g</t>
  </si>
  <si>
    <t>7008</t>
  </si>
  <si>
    <t>Lavender Breeze-100g</t>
  </si>
  <si>
    <t>7011</t>
  </si>
  <si>
    <t>Oud Fusion-100g</t>
  </si>
  <si>
    <t>7012</t>
  </si>
  <si>
    <t>Pink Blossoms-100g</t>
  </si>
  <si>
    <t>7013</t>
  </si>
  <si>
    <t>Rose &amp; Sandalwood-100g</t>
  </si>
  <si>
    <t>7015</t>
  </si>
  <si>
    <t>Toasted Vanilla-100g</t>
  </si>
  <si>
    <t>7016</t>
  </si>
  <si>
    <t>Tropical Peach-100g</t>
  </si>
  <si>
    <t>7017</t>
  </si>
  <si>
    <t>Watermelon Summer-100g</t>
  </si>
  <si>
    <t>7018</t>
  </si>
  <si>
    <t>White Garden-100g</t>
  </si>
  <si>
    <t>7020</t>
  </si>
  <si>
    <t>Burning Firewood-250g</t>
  </si>
  <si>
    <t>7022</t>
  </si>
  <si>
    <t>Cinnamon Apple-250g</t>
  </si>
  <si>
    <t>7023</t>
  </si>
  <si>
    <t>Citrus Bloom-250g</t>
  </si>
  <si>
    <t>7024</t>
  </si>
  <si>
    <t>Double Shot Espresso-250g</t>
  </si>
  <si>
    <t>7025</t>
  </si>
  <si>
    <t>Flower Bouquet-250g</t>
  </si>
  <si>
    <t>7026</t>
  </si>
  <si>
    <t>Honeysuckle Jasmine-250g</t>
  </si>
  <si>
    <t>7027</t>
  </si>
  <si>
    <t>Lavender Breeze-250g</t>
  </si>
  <si>
    <t>7030</t>
  </si>
  <si>
    <t>Oud Fusion-250g</t>
  </si>
  <si>
    <t>7031</t>
  </si>
  <si>
    <t>Pink Blossoms-250g</t>
  </si>
  <si>
    <t>7032</t>
  </si>
  <si>
    <t>Rose &amp; Sandalwood-250g</t>
  </si>
  <si>
    <t>7034</t>
  </si>
  <si>
    <t>Toasted Vanilla-250g</t>
  </si>
  <si>
    <t>7035</t>
  </si>
  <si>
    <t>Tropical Peach-250g</t>
  </si>
  <si>
    <t>7036</t>
  </si>
  <si>
    <t>Watermelon Summer-250g</t>
  </si>
  <si>
    <t>7037</t>
  </si>
  <si>
    <t>White Garden-250g</t>
  </si>
  <si>
    <t>7039</t>
  </si>
  <si>
    <t>Citrus Bloom-Spray</t>
  </si>
  <si>
    <t>7040</t>
  </si>
  <si>
    <t>Flower Bouquet-Spray</t>
  </si>
  <si>
    <t>7041</t>
  </si>
  <si>
    <t>Honeysuckle Jasmine-Spray</t>
  </si>
  <si>
    <t>7042</t>
  </si>
  <si>
    <t>Lavender Breeze-Spray</t>
  </si>
  <si>
    <t>7045</t>
  </si>
  <si>
    <t>Oud Fusion-Spray</t>
  </si>
  <si>
    <t>7046</t>
  </si>
  <si>
    <t>Rose &amp; Sandalwood-Spray</t>
  </si>
  <si>
    <t>7047</t>
  </si>
  <si>
    <t>Tropical Peach-Spray</t>
  </si>
  <si>
    <t>7048</t>
  </si>
  <si>
    <t>White Garden-Spray</t>
  </si>
  <si>
    <t>7049</t>
  </si>
  <si>
    <t>Burning Firewood-Diffuser</t>
  </si>
  <si>
    <t>7050</t>
  </si>
  <si>
    <t>Citrus Bloom-Diffuser</t>
  </si>
  <si>
    <t>7051</t>
  </si>
  <si>
    <t>Flower Bouquet-Diffuser</t>
  </si>
  <si>
    <t>7052</t>
  </si>
  <si>
    <t>Honeysuckle Jasmine-Diffuser</t>
  </si>
  <si>
    <t>7053</t>
  </si>
  <si>
    <t>Lavender Breeze-Diffuser</t>
  </si>
  <si>
    <t>7055</t>
  </si>
  <si>
    <t>Oud Fusion-Diffuser</t>
  </si>
  <si>
    <t>7056</t>
  </si>
  <si>
    <t>Rose &amp; Sandalwood-Diffuser</t>
  </si>
  <si>
    <t>7059</t>
  </si>
  <si>
    <t>Burning Firewood-500g</t>
  </si>
  <si>
    <t>7062</t>
  </si>
  <si>
    <t>Cinnamon Apple-500g</t>
  </si>
  <si>
    <t>7063</t>
  </si>
  <si>
    <t>Citrus Bloom-500g</t>
  </si>
  <si>
    <t>7064</t>
  </si>
  <si>
    <t>Double Shot Espresso-500g</t>
  </si>
  <si>
    <t>7065</t>
  </si>
  <si>
    <t>Flower Bouquet-500g</t>
  </si>
  <si>
    <t>7066</t>
  </si>
  <si>
    <t>Honeysuckle Jasmine-500g</t>
  </si>
  <si>
    <t>7067</t>
  </si>
  <si>
    <t>Lavender Breeze-500g</t>
  </si>
  <si>
    <t>7070</t>
  </si>
  <si>
    <t>Oud Fusion-500g</t>
  </si>
  <si>
    <t>7071</t>
  </si>
  <si>
    <t>Pink Blossoms-500g</t>
  </si>
  <si>
    <t>7072</t>
  </si>
  <si>
    <t>Rose &amp; Sandalwood-500g</t>
  </si>
  <si>
    <t>7074</t>
  </si>
  <si>
    <t>Toasted Vanilla-500g</t>
  </si>
  <si>
    <t>7075</t>
  </si>
  <si>
    <t>Tropical Peach-500g</t>
  </si>
  <si>
    <t>7076</t>
  </si>
  <si>
    <t>Watermelon Summer-500g</t>
  </si>
  <si>
    <t>7077</t>
  </si>
  <si>
    <t>White Garden-500g</t>
  </si>
  <si>
    <t>9007</t>
  </si>
  <si>
    <t>Oud Fusion Refill</t>
  </si>
  <si>
    <t>9010</t>
  </si>
  <si>
    <t>Honeysuckle Jasmine Refill</t>
  </si>
  <si>
    <t>9011</t>
  </si>
  <si>
    <t>Burning Firewood (Camphire) Refill</t>
  </si>
  <si>
    <t>9012</t>
  </si>
  <si>
    <t>Lavender Breeze Refill</t>
  </si>
  <si>
    <t>9013</t>
  </si>
  <si>
    <t>Burgamout &amp; Tea Leaves 100gm</t>
  </si>
  <si>
    <t>9014</t>
  </si>
  <si>
    <t>Burgamout &amp; Tea Leaves 250gm</t>
  </si>
  <si>
    <t>9015</t>
  </si>
  <si>
    <t>Burgamout &amp; Tea Leaves 500gm</t>
  </si>
  <si>
    <t>9016</t>
  </si>
  <si>
    <t>Burgamout &amp; Tea Leaves-Spray</t>
  </si>
  <si>
    <t>9017</t>
  </si>
  <si>
    <t>Burgamout &amp; Tea Leaves-Diffuser</t>
  </si>
  <si>
    <t>9019</t>
  </si>
  <si>
    <t>Oud Bakhoor Candle 100gm</t>
  </si>
  <si>
    <t>9020</t>
  </si>
  <si>
    <t>Sugar Berries Candle 100gm</t>
  </si>
  <si>
    <t>9021</t>
  </si>
  <si>
    <t>White Peach Candle 100gm</t>
  </si>
  <si>
    <t>9022</t>
  </si>
  <si>
    <t>Room and Linen Spray</t>
  </si>
  <si>
    <t>9-008</t>
  </si>
  <si>
    <t>Flower Bouquet Refill</t>
  </si>
  <si>
    <t>9-009</t>
  </si>
  <si>
    <t>Rose &amp; Sandalwood refil</t>
  </si>
  <si>
    <t>7000</t>
  </si>
  <si>
    <t>Amyris &amp; Coconut-100g</t>
  </si>
  <si>
    <t>7057</t>
  </si>
  <si>
    <t>General 250G Candle</t>
  </si>
  <si>
    <t>7079</t>
  </si>
  <si>
    <t>Tomato Leaves Candle 500gm</t>
  </si>
  <si>
    <t>7080</t>
  </si>
  <si>
    <t>Marigold and Champa Candles 500gm</t>
  </si>
  <si>
    <t>7081</t>
  </si>
  <si>
    <t>Marigold and Champa Candles 250gm</t>
  </si>
  <si>
    <t>7082</t>
  </si>
  <si>
    <t>Marigold and Champa Candles 100gm</t>
  </si>
  <si>
    <t>9001</t>
  </si>
  <si>
    <t>General Candle-100g</t>
  </si>
  <si>
    <t>9023</t>
  </si>
  <si>
    <t>Tomatoe Leaves 100 gm</t>
  </si>
  <si>
    <t>9024</t>
  </si>
  <si>
    <t>Tomatoes Leaves Candle 250 gm</t>
  </si>
  <si>
    <t>7021</t>
  </si>
  <si>
    <t>Candied Chestnut-250g</t>
  </si>
  <si>
    <t>7058</t>
  </si>
  <si>
    <t>General 100G Candle</t>
  </si>
  <si>
    <t>9000</t>
  </si>
  <si>
    <t>General Room Spray</t>
  </si>
  <si>
    <t>9006</t>
  </si>
  <si>
    <t>Citrus Bloom Refill</t>
  </si>
  <si>
    <t>9002</t>
  </si>
  <si>
    <t>General Candle-250g</t>
  </si>
  <si>
    <t>9003</t>
  </si>
  <si>
    <t>General Candle-500</t>
  </si>
  <si>
    <t>9005</t>
  </si>
  <si>
    <t>General Diffuser</t>
  </si>
  <si>
    <t>9009</t>
  </si>
  <si>
    <t>Oud Bakhoor 100gm</t>
  </si>
  <si>
    <t>7038</t>
  </si>
  <si>
    <t>Amyris &amp; Coconut-Spray</t>
  </si>
  <si>
    <t>7054</t>
  </si>
  <si>
    <t>Onyx Lagoon-Diffuser</t>
  </si>
  <si>
    <t>7073</t>
  </si>
  <si>
    <t>Shea &amp; Cedarwood-500g</t>
  </si>
  <si>
    <t>9018</t>
  </si>
  <si>
    <t>Burgamout &amp; Tea Leaves-Refill</t>
  </si>
  <si>
    <t>Freesia &amp; English Pear 8.5oz Candle</t>
  </si>
  <si>
    <t>Freesia &amp; English Pear Room / Linen Spray</t>
  </si>
  <si>
    <t>Freesia &amp; English Pear Reed diffuser</t>
  </si>
  <si>
    <t>Jasmine 8.5oz Candle</t>
  </si>
  <si>
    <t>Jasmine Room / Linen Spray</t>
  </si>
  <si>
    <t>Jasmine Reed diffuser</t>
  </si>
  <si>
    <t>Vetiver &amp; Cedarwood 8.5oz Candle</t>
  </si>
  <si>
    <t>Vetiver &amp; Cedarwood Room / Linen Spray</t>
  </si>
  <si>
    <t>Vetiver &amp; Cedarwood Diffuser</t>
  </si>
  <si>
    <t>Lemon &amp; Ginger Tea 8.5oz Candle</t>
  </si>
  <si>
    <t>Lemon &amp; Ginger Tea Room / Linen Spray</t>
  </si>
  <si>
    <t>Lemon &amp; Ginger Tea Reed diffuser</t>
  </si>
  <si>
    <t>9040</t>
  </si>
  <si>
    <t>7044</t>
  </si>
  <si>
    <t>Onyx Lagoon-Spray</t>
  </si>
  <si>
    <t>7069</t>
  </si>
  <si>
    <t>Onyx Lagoon-500g</t>
  </si>
  <si>
    <t>9046</t>
  </si>
  <si>
    <t>Model</t>
  </si>
  <si>
    <t>Sr. No</t>
  </si>
  <si>
    <t>Nature</t>
  </si>
  <si>
    <t>Type of cost</t>
  </si>
  <si>
    <t>Material code</t>
  </si>
  <si>
    <t>Consumption per unit</t>
  </si>
  <si>
    <t>Rate</t>
  </si>
  <si>
    <t>Value</t>
  </si>
  <si>
    <t>Total</t>
  </si>
  <si>
    <t>Price (Non-GST Channels)</t>
  </si>
  <si>
    <t>Margins</t>
  </si>
  <si>
    <t>100g candle</t>
  </si>
  <si>
    <t>Jar</t>
  </si>
  <si>
    <t>No</t>
  </si>
  <si>
    <t>Filling</t>
  </si>
  <si>
    <t>g</t>
  </si>
  <si>
    <t>Box</t>
  </si>
  <si>
    <t>Colored scent tag</t>
  </si>
  <si>
    <t>Average business margin</t>
  </si>
  <si>
    <t>Warning label</t>
  </si>
  <si>
    <t>Jar label</t>
  </si>
  <si>
    <t>250g candle</t>
  </si>
  <si>
    <t>500g candle</t>
  </si>
  <si>
    <t>Reed diffusers</t>
  </si>
  <si>
    <t>Bottle</t>
  </si>
  <si>
    <t>Bottle label</t>
  </si>
  <si>
    <t>reed sticks</t>
  </si>
  <si>
    <t>Room spray</t>
  </si>
  <si>
    <t>Distilled water</t>
  </si>
  <si>
    <t>kg</t>
  </si>
  <si>
    <t>Dimethicone</t>
  </si>
  <si>
    <t>Polysorbate 80</t>
  </si>
  <si>
    <t>Vegetable glycerin</t>
  </si>
  <si>
    <t>Scent oil</t>
  </si>
  <si>
    <t>Optiphen plus</t>
  </si>
  <si>
    <t>Labour</t>
  </si>
  <si>
    <t>Diffuser refill</t>
  </si>
  <si>
    <t>Reed sticks</t>
  </si>
  <si>
    <t>box</t>
  </si>
  <si>
    <t>Raw Materail</t>
  </si>
  <si>
    <t>Packaging Materail</t>
  </si>
  <si>
    <t>Selling Price</t>
  </si>
  <si>
    <t>onyx lagoon Refill</t>
  </si>
  <si>
    <t>Rose &amp; Sandalwood Refill</t>
  </si>
  <si>
    <t>Freesia &amp; English Pear 3.5oz 100 Candle</t>
  </si>
  <si>
    <t>Lemon &amp; Ginger Tea 3.5oz 100 Candle</t>
  </si>
  <si>
    <t>Vetiver &amp; Cedarwood 3.5oz 100 Candle</t>
  </si>
  <si>
    <t>Jasmine 3.5oz 100 Candle</t>
  </si>
  <si>
    <t>Trail Mix Reed Stick</t>
  </si>
  <si>
    <t>Lotion &amp; Wash 10fl</t>
  </si>
  <si>
    <t>Unit/Item Name</t>
  </si>
  <si>
    <t>Sale Price</t>
  </si>
  <si>
    <t>Cost Price</t>
  </si>
  <si>
    <t>100g-3.5</t>
  </si>
  <si>
    <t>1800-2200</t>
  </si>
  <si>
    <t>250g-8.5 or 9.5</t>
  </si>
  <si>
    <t>3600-4200</t>
  </si>
  <si>
    <t>500g-18FL</t>
  </si>
  <si>
    <t>5600-6000</t>
  </si>
  <si>
    <t xml:space="preserve">Spray-8FL </t>
  </si>
  <si>
    <t>2600-2950</t>
  </si>
  <si>
    <t>Diffuser</t>
  </si>
  <si>
    <t>4400-4900</t>
  </si>
  <si>
    <t>Refill</t>
  </si>
  <si>
    <t>1800 &amp; 2400</t>
  </si>
  <si>
    <t>Reedstick</t>
  </si>
  <si>
    <t>Total Selling Pric.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</si>
</sst>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###,###,##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Segoe UI"/>
      <family val="2"/>
    </font>
    <font>
      <sz val="14"/>
      <name val="Segoe UI"/>
      <family val="2"/>
    </font>
    <font>
      <b/>
      <sz val="14"/>
      <color theme="9" tint="-0.249977111117893"/>
      <name val="Segoe UI"/>
      <family val="2"/>
    </font>
    <font>
      <b/>
      <sz val="12"/>
      <color theme="9" tint="-0.249977111117893"/>
      <name val="Segoe UI"/>
      <family val="2"/>
    </font>
    <font>
      <b/>
      <sz val="14"/>
      <color theme="0"/>
      <name val="Segoe UI"/>
      <family val="2"/>
    </font>
    <font>
      <b/>
      <i/>
      <sz val="14"/>
      <name val="Segoe UI"/>
      <family val="2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4"/>
      <color rgb="FFFF0000"/>
      <name val="Segoe UI"/>
      <family val="2"/>
    </font>
    <font>
      <b/>
      <sz val="16"/>
      <name val="Arial"/>
      <family val="2"/>
    </font>
    <font>
      <b/>
      <sz val="11"/>
      <color rgb="FFFF0000"/>
      <name val="Calibri"/>
      <family val="2"/>
      <scheme val="minor"/>
    </font>
    <font>
      <b/>
      <i/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002060"/>
        <bgColor indexed="64"/>
      </patternFill>
    </fill>
  </fills>
  <borders count="68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9" tint="-0.24994659260841701"/>
      </top>
      <bottom style="double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indexed="64"/>
      </top>
      <bottom style="double">
        <color indexed="64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 style="thin">
        <color indexed="64"/>
      </left>
      <right/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indexed="64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indexed="64"/>
      </bottom>
      <diagonal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1" fillId="0" borderId="0"/>
  </cellStyleXfs>
  <cellXfs count="189">
    <xf numFmtId="0" fontId="0" fillId="0" borderId="0" xfId="0"/>
    <xf numFmtId="0" fontId="12" fillId="0" borderId="0" xfId="3" applyFont="1" applyAlignment="1">
      <alignment vertical="center"/>
    </xf>
    <xf numFmtId="0" fontId="5" fillId="0" borderId="0" xfId="3" applyFont="1" applyAlignment="1">
      <alignment vertical="center"/>
    </xf>
    <xf numFmtId="41" fontId="5" fillId="0" borderId="0" xfId="3" applyNumberFormat="1" applyFont="1" applyAlignment="1">
      <alignment vertical="center"/>
    </xf>
    <xf numFmtId="1" fontId="4" fillId="0" borderId="0" xfId="3" applyNumberFormat="1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0" fillId="0" borderId="6" xfId="0" applyBorder="1" applyAlignment="1" applyProtection="1">
      <alignment horizontal="left"/>
      <protection locked="0"/>
    </xf>
    <xf numFmtId="166" fontId="0" fillId="0" borderId="6" xfId="0" applyNumberFormat="1" applyBorder="1" applyAlignment="1" applyProtection="1">
      <alignment horizontal="right"/>
      <protection locked="0"/>
    </xf>
    <xf numFmtId="0" fontId="13" fillId="2" borderId="7" xfId="0" applyFont="1" applyFill="1" applyBorder="1" applyAlignment="1" applyProtection="1">
      <alignment horizontal="left"/>
      <protection locked="0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left"/>
      <protection locked="0"/>
    </xf>
    <xf numFmtId="2" fontId="0" fillId="0" borderId="6" xfId="0" applyNumberFormat="1" applyBorder="1" applyAlignment="1" applyProtection="1">
      <alignment horizontal="left"/>
      <protection locked="0"/>
    </xf>
    <xf numFmtId="0" fontId="0" fillId="0" borderId="6" xfId="0" applyBorder="1"/>
    <xf numFmtId="3" fontId="0" fillId="0" borderId="6" xfId="0" applyNumberFormat="1" applyBorder="1" applyProtection="1">
      <protection locked="0"/>
    </xf>
    <xf numFmtId="3" fontId="0" fillId="0" borderId="6" xfId="0" applyNumberFormat="1" applyBorder="1" applyAlignment="1" applyProtection="1">
      <alignment horizontal="right"/>
      <protection locked="0"/>
    </xf>
    <xf numFmtId="9" fontId="12" fillId="0" borderId="0" xfId="3" applyNumberFormat="1" applyFont="1" applyAlignment="1">
      <alignment vertical="center"/>
    </xf>
    <xf numFmtId="9" fontId="5" fillId="0" borderId="0" xfId="3" applyNumberFormat="1" applyFont="1" applyAlignment="1">
      <alignment vertical="center"/>
    </xf>
    <xf numFmtId="3" fontId="12" fillId="0" borderId="0" xfId="3" applyNumberFormat="1" applyFont="1" applyAlignment="1">
      <alignment vertical="center"/>
    </xf>
    <xf numFmtId="3" fontId="5" fillId="0" borderId="0" xfId="3" applyNumberFormat="1" applyFont="1" applyAlignment="1">
      <alignment vertical="center"/>
    </xf>
    <xf numFmtId="0" fontId="0" fillId="3" borderId="0" xfId="0" applyFill="1" applyAlignment="1">
      <alignment vertical="center"/>
    </xf>
    <xf numFmtId="3" fontId="16" fillId="3" borderId="0" xfId="0" applyNumberFormat="1" applyFont="1" applyFill="1" applyAlignment="1">
      <alignment vertical="center"/>
    </xf>
    <xf numFmtId="0" fontId="6" fillId="0" borderId="0" xfId="3" applyFont="1" applyAlignment="1">
      <alignment horizontal="center" vertical="center" wrapText="1"/>
    </xf>
    <xf numFmtId="9" fontId="6" fillId="0" borderId="0" xfId="3" applyNumberFormat="1" applyFont="1" applyAlignment="1">
      <alignment horizontal="center" vertical="center" wrapText="1"/>
    </xf>
    <xf numFmtId="3" fontId="7" fillId="0" borderId="0" xfId="3" applyNumberFormat="1" applyFont="1" applyAlignment="1">
      <alignment horizontal="center" wrapText="1"/>
    </xf>
    <xf numFmtId="0" fontId="4" fillId="0" borderId="0" xfId="3" applyFont="1" applyAlignment="1">
      <alignment vertical="center"/>
    </xf>
    <xf numFmtId="164" fontId="4" fillId="0" borderId="0" xfId="4" applyNumberFormat="1" applyFont="1" applyFill="1" applyAlignment="1">
      <alignment horizontal="center" vertical="center"/>
    </xf>
    <xf numFmtId="3" fontId="4" fillId="0" borderId="0" xfId="4" applyNumberFormat="1" applyFont="1" applyFill="1" applyAlignment="1">
      <alignment horizontal="center" vertical="center"/>
    </xf>
    <xf numFmtId="1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horizontal="center" vertical="center"/>
    </xf>
    <xf numFmtId="3" fontId="8" fillId="0" borderId="0" xfId="3" applyNumberFormat="1" applyFont="1" applyAlignment="1">
      <alignment vertical="center"/>
    </xf>
    <xf numFmtId="9" fontId="8" fillId="0" borderId="0" xfId="3" applyNumberFormat="1" applyFont="1" applyAlignment="1">
      <alignment vertical="center"/>
    </xf>
    <xf numFmtId="0" fontId="9" fillId="0" borderId="0" xfId="3" applyFont="1" applyAlignment="1">
      <alignment vertical="center"/>
    </xf>
    <xf numFmtId="3" fontId="9" fillId="0" borderId="0" xfId="3" applyNumberFormat="1" applyFont="1" applyAlignment="1">
      <alignment vertical="center"/>
    </xf>
    <xf numFmtId="9" fontId="5" fillId="0" borderId="0" xfId="4" applyNumberFormat="1" applyFont="1" applyFill="1" applyAlignment="1">
      <alignment vertical="center"/>
    </xf>
    <xf numFmtId="3" fontId="5" fillId="0" borderId="0" xfId="4" applyNumberFormat="1" applyFont="1" applyFill="1" applyAlignment="1">
      <alignment vertical="center"/>
    </xf>
    <xf numFmtId="0" fontId="5" fillId="0" borderId="0" xfId="3" quotePrefix="1" applyFont="1" applyAlignment="1">
      <alignment horizontal="center" vertical="center"/>
    </xf>
    <xf numFmtId="9" fontId="5" fillId="0" borderId="0" xfId="4" applyNumberFormat="1" applyFont="1" applyFill="1" applyBorder="1" applyAlignment="1">
      <alignment vertical="center"/>
    </xf>
    <xf numFmtId="1" fontId="4" fillId="0" borderId="0" xfId="3" quotePrefix="1" applyNumberFormat="1" applyFont="1" applyAlignment="1">
      <alignment horizontal="left" vertical="center"/>
    </xf>
    <xf numFmtId="9" fontId="6" fillId="0" borderId="0" xfId="2" applyFont="1" applyFill="1" applyAlignment="1">
      <alignment horizontal="center" vertical="center"/>
    </xf>
    <xf numFmtId="9" fontId="6" fillId="0" borderId="2" xfId="2" applyFont="1" applyFill="1" applyBorder="1" applyAlignment="1">
      <alignment horizontal="center" vertical="center"/>
    </xf>
    <xf numFmtId="165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0" fontId="6" fillId="0" borderId="0" xfId="3" applyFont="1" applyAlignment="1">
      <alignment horizontal="center" vertical="center"/>
    </xf>
    <xf numFmtId="3" fontId="6" fillId="0" borderId="0" xfId="3" applyNumberFormat="1" applyFont="1" applyAlignment="1">
      <alignment vertical="center"/>
    </xf>
    <xf numFmtId="9" fontId="6" fillId="0" borderId="0" xfId="3" applyNumberFormat="1" applyFont="1" applyAlignment="1">
      <alignment vertical="center"/>
    </xf>
    <xf numFmtId="0" fontId="5" fillId="0" borderId="0" xfId="5" applyNumberFormat="1" applyFont="1" applyFill="1" applyAlignment="1">
      <alignment horizontal="left" vertical="center"/>
    </xf>
    <xf numFmtId="9" fontId="6" fillId="0" borderId="0" xfId="2" applyFont="1" applyFill="1" applyBorder="1" applyAlignment="1">
      <alignment horizontal="center" vertical="center"/>
    </xf>
    <xf numFmtId="3" fontId="11" fillId="0" borderId="0" xfId="1" quotePrefix="1" applyNumberFormat="1" applyFont="1" applyFill="1" applyBorder="1" applyAlignment="1">
      <alignment horizontal="center" vertical="center"/>
    </xf>
    <xf numFmtId="41" fontId="11" fillId="0" borderId="0" xfId="1" quotePrefix="1" applyFont="1" applyFill="1" applyBorder="1" applyAlignment="1">
      <alignment horizontal="center" vertical="center"/>
    </xf>
    <xf numFmtId="0" fontId="5" fillId="0" borderId="0" xfId="3" applyFont="1" applyAlignment="1">
      <alignment horizontal="justify" vertical="center" wrapText="1"/>
    </xf>
    <xf numFmtId="3" fontId="5" fillId="0" borderId="0" xfId="3" applyNumberFormat="1" applyFont="1" applyAlignment="1">
      <alignment horizontal="justify" vertical="center" wrapText="1"/>
    </xf>
    <xf numFmtId="0" fontId="4" fillId="0" borderId="0" xfId="3" applyFont="1" applyAlignment="1">
      <alignment horizontal="center" vertical="center" wrapText="1"/>
    </xf>
    <xf numFmtId="9" fontId="5" fillId="0" borderId="0" xfId="3" applyNumberFormat="1" applyFont="1" applyAlignment="1">
      <alignment horizontal="justify" vertical="center" wrapText="1"/>
    </xf>
    <xf numFmtId="165" fontId="8" fillId="0" borderId="0" xfId="3" applyNumberFormat="1" applyFont="1" applyAlignment="1">
      <alignment horizontal="center" vertical="center"/>
    </xf>
    <xf numFmtId="165" fontId="5" fillId="0" borderId="0" xfId="3" applyNumberFormat="1" applyFont="1" applyAlignment="1">
      <alignment horizontal="center" vertical="center"/>
    </xf>
    <xf numFmtId="41" fontId="10" fillId="0" borderId="1" xfId="1" quotePrefix="1" applyFont="1" applyFill="1" applyBorder="1" applyAlignment="1">
      <alignment horizontal="center" vertical="center"/>
    </xf>
    <xf numFmtId="0" fontId="10" fillId="0" borderId="0" xfId="6" applyFont="1" applyAlignment="1">
      <alignment vertical="center"/>
    </xf>
    <xf numFmtId="164" fontId="5" fillId="0" borderId="0" xfId="4" quotePrefix="1" applyNumberFormat="1" applyFont="1" applyFill="1" applyAlignment="1">
      <alignment horizontal="center" vertical="center"/>
    </xf>
    <xf numFmtId="41" fontId="10" fillId="0" borderId="0" xfId="1" quotePrefix="1" applyFont="1" applyFill="1" applyBorder="1" applyAlignment="1">
      <alignment horizontal="center" vertical="center"/>
    </xf>
    <xf numFmtId="3" fontId="5" fillId="0" borderId="3" xfId="3" applyNumberFormat="1" applyFont="1" applyBorder="1" applyAlignment="1">
      <alignment vertical="center"/>
    </xf>
    <xf numFmtId="3" fontId="5" fillId="0" borderId="4" xfId="3" applyNumberFormat="1" applyFont="1" applyBorder="1" applyAlignment="1">
      <alignment vertical="center"/>
    </xf>
    <xf numFmtId="3" fontId="5" fillId="0" borderId="5" xfId="3" applyNumberFormat="1" applyFont="1" applyBorder="1" applyAlignment="1">
      <alignment vertical="center"/>
    </xf>
    <xf numFmtId="164" fontId="5" fillId="0" borderId="0" xfId="4" applyNumberFormat="1" applyFont="1" applyFill="1" applyAlignment="1">
      <alignment horizontal="center" vertical="center"/>
    </xf>
    <xf numFmtId="3" fontId="5" fillId="0" borderId="3" xfId="4" applyNumberFormat="1" applyFont="1" applyFill="1" applyBorder="1" applyAlignment="1">
      <alignment vertical="center"/>
    </xf>
    <xf numFmtId="3" fontId="5" fillId="0" borderId="5" xfId="4" applyNumberFormat="1" applyFont="1" applyFill="1" applyBorder="1" applyAlignment="1">
      <alignment vertical="center"/>
    </xf>
    <xf numFmtId="0" fontId="4" fillId="0" borderId="0" xfId="3" quotePrefix="1" applyFont="1" applyAlignment="1">
      <alignment horizontal="left" vertical="center"/>
    </xf>
    <xf numFmtId="3" fontId="6" fillId="0" borderId="0" xfId="2" applyNumberFormat="1" applyFont="1" applyFill="1" applyBorder="1" applyAlignment="1">
      <alignment horizontal="center" vertical="center"/>
    </xf>
    <xf numFmtId="164" fontId="5" fillId="0" borderId="0" xfId="4" applyNumberFormat="1" applyFont="1" applyFill="1" applyBorder="1" applyAlignment="1">
      <alignment vertical="center"/>
    </xf>
    <xf numFmtId="3" fontId="5" fillId="0" borderId="4" xfId="4" applyNumberFormat="1" applyFont="1" applyFill="1" applyBorder="1" applyAlignment="1">
      <alignment vertical="center"/>
    </xf>
    <xf numFmtId="3" fontId="11" fillId="0" borderId="0" xfId="5" quotePrefix="1" applyNumberFormat="1" applyFont="1" applyFill="1" applyBorder="1" applyAlignment="1">
      <alignment horizontal="center" vertical="center"/>
    </xf>
    <xf numFmtId="0" fontId="5" fillId="0" borderId="0" xfId="3" applyFont="1" applyAlignment="1">
      <alignment horizontal="right" vertical="center"/>
    </xf>
    <xf numFmtId="3" fontId="5" fillId="0" borderId="0" xfId="3" applyNumberFormat="1" applyFont="1" applyAlignment="1">
      <alignment vertical="center" wrapText="1"/>
    </xf>
    <xf numFmtId="0" fontId="5" fillId="4" borderId="0" xfId="3" applyFont="1" applyFill="1" applyAlignment="1">
      <alignment vertical="center"/>
    </xf>
    <xf numFmtId="1" fontId="4" fillId="4" borderId="0" xfId="3" applyNumberFormat="1" applyFont="1" applyFill="1" applyAlignment="1">
      <alignment horizontal="left" vertical="center"/>
    </xf>
    <xf numFmtId="3" fontId="5" fillId="4" borderId="0" xfId="3" applyNumberFormat="1" applyFont="1" applyFill="1" applyAlignment="1">
      <alignment vertical="center"/>
    </xf>
    <xf numFmtId="0" fontId="5" fillId="4" borderId="0" xfId="3" applyFont="1" applyFill="1" applyAlignment="1">
      <alignment horizontal="center" vertical="center"/>
    </xf>
    <xf numFmtId="9" fontId="5" fillId="4" borderId="0" xfId="3" applyNumberFormat="1" applyFont="1" applyFill="1" applyAlignment="1">
      <alignment vertical="center"/>
    </xf>
    <xf numFmtId="3" fontId="10" fillId="0" borderId="11" xfId="1" quotePrefix="1" applyNumberFormat="1" applyFont="1" applyFill="1" applyBorder="1" applyAlignment="1">
      <alignment horizontal="center" vertical="center"/>
    </xf>
    <xf numFmtId="3" fontId="11" fillId="0" borderId="12" xfId="1" quotePrefix="1" applyNumberFormat="1" applyFont="1" applyFill="1" applyBorder="1" applyAlignment="1">
      <alignment horizontal="center" vertical="center"/>
    </xf>
    <xf numFmtId="3" fontId="10" fillId="0" borderId="13" xfId="1" quotePrefix="1" applyNumberFormat="1" applyFont="1" applyFill="1" applyBorder="1" applyAlignment="1">
      <alignment horizontal="center" vertical="center"/>
    </xf>
    <xf numFmtId="3" fontId="10" fillId="0" borderId="11" xfId="1" quotePrefix="1" applyNumberFormat="1" applyFont="1" applyFill="1" applyBorder="1" applyAlignment="1">
      <alignment horizontal="right" vertical="center"/>
    </xf>
    <xf numFmtId="3" fontId="10" fillId="0" borderId="11" xfId="5" quotePrefix="1" applyNumberFormat="1" applyFont="1" applyFill="1" applyBorder="1" applyAlignment="1">
      <alignment horizontal="center" vertical="center"/>
    </xf>
    <xf numFmtId="3" fontId="11" fillId="0" borderId="12" xfId="5" quotePrefix="1" applyNumberFormat="1" applyFont="1" applyFill="1" applyBorder="1" applyAlignment="1">
      <alignment horizontal="center" vertical="center"/>
    </xf>
    <xf numFmtId="3" fontId="10" fillId="0" borderId="13" xfId="5" quotePrefix="1" applyNumberFormat="1" applyFont="1" applyFill="1" applyBorder="1" applyAlignment="1">
      <alignment horizontal="center" vertical="center"/>
    </xf>
    <xf numFmtId="3" fontId="10" fillId="0" borderId="11" xfId="5" quotePrefix="1" applyNumberFormat="1" applyFont="1" applyFill="1" applyBorder="1" applyAlignment="1">
      <alignment horizontal="right" vertical="center"/>
    </xf>
    <xf numFmtId="43" fontId="5" fillId="0" borderId="0" xfId="3" applyNumberFormat="1" applyFont="1" applyAlignment="1">
      <alignment vertical="center"/>
    </xf>
    <xf numFmtId="164" fontId="5" fillId="0" borderId="0" xfId="4" quotePrefix="1" applyNumberFormat="1" applyFont="1" applyFill="1" applyBorder="1" applyAlignment="1">
      <alignment horizontal="center" vertical="center"/>
    </xf>
    <xf numFmtId="3" fontId="5" fillId="0" borderId="6" xfId="3" applyNumberFormat="1" applyFont="1" applyBorder="1" applyAlignment="1">
      <alignment vertical="center"/>
    </xf>
    <xf numFmtId="17" fontId="2" fillId="5" borderId="6" xfId="0" applyNumberFormat="1" applyFont="1" applyFill="1" applyBorder="1" applyAlignment="1">
      <alignment horizontal="center"/>
    </xf>
    <xf numFmtId="0" fontId="0" fillId="5" borderId="5" xfId="0" applyFill="1" applyBorder="1" applyProtection="1">
      <protection locked="0"/>
    </xf>
    <xf numFmtId="0" fontId="14" fillId="5" borderId="6" xfId="0" applyFont="1" applyFill="1" applyBorder="1"/>
    <xf numFmtId="3" fontId="14" fillId="5" borderId="6" xfId="0" applyNumberFormat="1" applyFont="1" applyFill="1" applyBorder="1"/>
    <xf numFmtId="0" fontId="0" fillId="5" borderId="6" xfId="0" applyFill="1" applyBorder="1"/>
    <xf numFmtId="3" fontId="0" fillId="5" borderId="6" xfId="0" applyNumberFormat="1" applyFill="1" applyBorder="1"/>
    <xf numFmtId="0" fontId="15" fillId="6" borderId="8" xfId="0" applyFont="1" applyFill="1" applyBorder="1" applyAlignment="1" applyProtection="1">
      <alignment vertical="center"/>
      <protection locked="0"/>
    </xf>
    <xf numFmtId="0" fontId="15" fillId="6" borderId="9" xfId="0" applyFont="1" applyFill="1" applyBorder="1" applyAlignment="1" applyProtection="1">
      <alignment vertical="center"/>
      <protection locked="0"/>
    </xf>
    <xf numFmtId="0" fontId="15" fillId="6" borderId="9" xfId="0" applyFont="1" applyFill="1" applyBorder="1" applyAlignment="1" applyProtection="1">
      <alignment horizontal="right" vertical="center"/>
      <protection locked="0"/>
    </xf>
    <xf numFmtId="0" fontId="15" fillId="6" borderId="10" xfId="0" applyFont="1" applyFill="1" applyBorder="1" applyAlignment="1" applyProtection="1">
      <alignment vertical="center"/>
      <protection locked="0"/>
    </xf>
    <xf numFmtId="0" fontId="18" fillId="7" borderId="14" xfId="0" applyFont="1" applyFill="1" applyBorder="1" applyAlignment="1">
      <alignment horizontal="center" vertical="center" wrapText="1" readingOrder="1"/>
    </xf>
    <xf numFmtId="0" fontId="18" fillId="7" borderId="15" xfId="0" applyFont="1" applyFill="1" applyBorder="1" applyAlignment="1">
      <alignment horizontal="center" vertical="center" wrapText="1" readingOrder="1"/>
    </xf>
    <xf numFmtId="0" fontId="18" fillId="7" borderId="16" xfId="0" applyFont="1" applyFill="1" applyBorder="1" applyAlignment="1">
      <alignment horizontal="center" vertical="center" wrapText="1" readingOrder="1"/>
    </xf>
    <xf numFmtId="0" fontId="18" fillId="7" borderId="17" xfId="0" applyFont="1" applyFill="1" applyBorder="1" applyAlignment="1">
      <alignment horizontal="center" vertical="center" wrapText="1" readingOrder="1"/>
    </xf>
    <xf numFmtId="0" fontId="18" fillId="7" borderId="6" xfId="0" applyFont="1" applyFill="1" applyBorder="1" applyAlignment="1">
      <alignment horizontal="center" vertical="center" wrapText="1" readingOrder="1"/>
    </xf>
    <xf numFmtId="0" fontId="19" fillId="0" borderId="18" xfId="0" applyFont="1" applyBorder="1" applyAlignment="1">
      <alignment horizontal="center" vertical="center" wrapText="1" readingOrder="1"/>
    </xf>
    <xf numFmtId="0" fontId="19" fillId="0" borderId="19" xfId="0" applyFont="1" applyBorder="1" applyAlignment="1">
      <alignment horizontal="center" vertical="center" readingOrder="1"/>
    </xf>
    <xf numFmtId="0" fontId="19" fillId="0" borderId="20" xfId="0" applyFont="1" applyBorder="1" applyAlignment="1">
      <alignment horizontal="center" vertical="center" readingOrder="1"/>
    </xf>
    <xf numFmtId="0" fontId="19" fillId="0" borderId="20" xfId="0" applyFont="1" applyBorder="1" applyAlignment="1">
      <alignment horizontal="center" vertical="center" wrapText="1" readingOrder="1"/>
    </xf>
    <xf numFmtId="0" fontId="19" fillId="0" borderId="21" xfId="0" applyFont="1" applyBorder="1" applyAlignment="1">
      <alignment horizontal="center" vertical="center" readingOrder="1"/>
    </xf>
    <xf numFmtId="0" fontId="19" fillId="0" borderId="22" xfId="0" applyFont="1" applyBorder="1" applyAlignment="1">
      <alignment horizontal="center" vertical="center" readingOrder="1"/>
    </xf>
    <xf numFmtId="0" fontId="19" fillId="4" borderId="6" xfId="0" applyFont="1" applyFill="1" applyBorder="1" applyAlignment="1">
      <alignment vertical="center" readingOrder="1"/>
    </xf>
    <xf numFmtId="0" fontId="20" fillId="4" borderId="6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19" fillId="0" borderId="23" xfId="0" applyFont="1" applyBorder="1" applyAlignment="1">
      <alignment horizontal="center" vertical="center" readingOrder="1"/>
    </xf>
    <xf numFmtId="0" fontId="19" fillId="0" borderId="24" xfId="0" applyFont="1" applyBorder="1" applyAlignment="1">
      <alignment horizontal="center" vertical="center" readingOrder="1"/>
    </xf>
    <xf numFmtId="0" fontId="19" fillId="0" borderId="24" xfId="0" applyFont="1" applyBorder="1" applyAlignment="1">
      <alignment horizontal="center" vertical="center" wrapText="1" readingOrder="1"/>
    </xf>
    <xf numFmtId="0" fontId="19" fillId="0" borderId="25" xfId="0" applyFont="1" applyBorder="1" applyAlignment="1">
      <alignment horizontal="center" vertical="center" readingOrder="1"/>
    </xf>
    <xf numFmtId="0" fontId="19" fillId="0" borderId="6" xfId="0" applyFont="1" applyBorder="1" applyAlignment="1">
      <alignment horizontal="center" vertical="center" readingOrder="1"/>
    </xf>
    <xf numFmtId="0" fontId="20" fillId="0" borderId="6" xfId="0" applyFont="1" applyBorder="1"/>
    <xf numFmtId="0" fontId="19" fillId="0" borderId="26" xfId="0" applyFont="1" applyBorder="1" applyAlignment="1">
      <alignment horizontal="center" vertical="center" wrapText="1" readingOrder="1"/>
    </xf>
    <xf numFmtId="0" fontId="19" fillId="0" borderId="27" xfId="0" applyFont="1" applyBorder="1" applyAlignment="1">
      <alignment horizontal="center" vertical="center" wrapText="1" readingOrder="1"/>
    </xf>
    <xf numFmtId="0" fontId="19" fillId="0" borderId="28" xfId="0" applyFont="1" applyBorder="1" applyAlignment="1">
      <alignment horizontal="center" vertical="center" readingOrder="1"/>
    </xf>
    <xf numFmtId="0" fontId="19" fillId="0" borderId="26" xfId="0" applyFont="1" applyBorder="1" applyAlignment="1">
      <alignment horizontal="center" vertical="center" readingOrder="1"/>
    </xf>
    <xf numFmtId="0" fontId="19" fillId="0" borderId="29" xfId="0" applyFont="1" applyBorder="1" applyAlignment="1">
      <alignment horizontal="center" vertical="center" readingOrder="1"/>
    </xf>
    <xf numFmtId="0" fontId="19" fillId="0" borderId="30" xfId="0" applyFont="1" applyBorder="1" applyAlignment="1">
      <alignment horizontal="center" vertical="center" readingOrder="1"/>
    </xf>
    <xf numFmtId="0" fontId="19" fillId="0" borderId="31" xfId="0" applyFont="1" applyBorder="1" applyAlignment="1">
      <alignment horizontal="center" vertical="center" readingOrder="1"/>
    </xf>
    <xf numFmtId="0" fontId="19" fillId="0" borderId="31" xfId="0" applyFont="1" applyBorder="1" applyAlignment="1">
      <alignment horizontal="center" vertical="center" wrapText="1" readingOrder="1"/>
    </xf>
    <xf numFmtId="0" fontId="19" fillId="0" borderId="32" xfId="0" applyFont="1" applyBorder="1" applyAlignment="1">
      <alignment horizontal="center" vertical="center" readingOrder="1"/>
    </xf>
    <xf numFmtId="0" fontId="19" fillId="0" borderId="33" xfId="0" applyFont="1" applyBorder="1" applyAlignment="1">
      <alignment horizontal="center" vertical="center" wrapText="1" readingOrder="1"/>
    </xf>
    <xf numFmtId="0" fontId="19" fillId="0" borderId="34" xfId="0" applyFont="1" applyBorder="1" applyAlignment="1">
      <alignment horizontal="center" vertical="center" readingOrder="1"/>
    </xf>
    <xf numFmtId="0" fontId="19" fillId="0" borderId="35" xfId="0" applyFont="1" applyBorder="1" applyAlignment="1">
      <alignment horizontal="center" vertical="center" readingOrder="1"/>
    </xf>
    <xf numFmtId="0" fontId="19" fillId="0" borderId="35" xfId="0" applyFont="1" applyBorder="1" applyAlignment="1">
      <alignment horizontal="center" vertical="center" wrapText="1" readingOrder="1"/>
    </xf>
    <xf numFmtId="0" fontId="19" fillId="0" borderId="36" xfId="0" applyFont="1" applyBorder="1" applyAlignment="1">
      <alignment horizontal="center" vertical="center" readingOrder="1"/>
    </xf>
    <xf numFmtId="0" fontId="19" fillId="0" borderId="37" xfId="0" applyFont="1" applyBorder="1" applyAlignment="1">
      <alignment horizontal="center" vertical="center" wrapText="1" readingOrder="1"/>
    </xf>
    <xf numFmtId="0" fontId="19" fillId="0" borderId="38" xfId="0" applyFont="1" applyBorder="1" applyAlignment="1">
      <alignment horizontal="center" vertical="center" readingOrder="1"/>
    </xf>
    <xf numFmtId="0" fontId="19" fillId="0" borderId="39" xfId="0" applyFont="1" applyBorder="1" applyAlignment="1">
      <alignment horizontal="center" vertical="center" readingOrder="1"/>
    </xf>
    <xf numFmtId="0" fontId="19" fillId="0" borderId="39" xfId="0" applyFont="1" applyBorder="1" applyAlignment="1">
      <alignment horizontal="center" vertical="center" wrapText="1" readingOrder="1"/>
    </xf>
    <xf numFmtId="0" fontId="19" fillId="0" borderId="40" xfId="0" applyFont="1" applyBorder="1" applyAlignment="1">
      <alignment horizontal="center" vertical="center" readingOrder="1"/>
    </xf>
    <xf numFmtId="0" fontId="20" fillId="0" borderId="4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readingOrder="1"/>
    </xf>
    <xf numFmtId="0" fontId="19" fillId="0" borderId="44" xfId="0" applyFont="1" applyBorder="1" applyAlignment="1">
      <alignment horizontal="center" readingOrder="1"/>
    </xf>
    <xf numFmtId="0" fontId="20" fillId="0" borderId="5" xfId="0" applyFont="1" applyBorder="1" applyAlignment="1">
      <alignment horizontal="center" vertical="center"/>
    </xf>
    <xf numFmtId="0" fontId="0" fillId="0" borderId="45" xfId="0" applyBorder="1"/>
    <xf numFmtId="0" fontId="20" fillId="0" borderId="45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5" fillId="6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left"/>
      <protection locked="0"/>
    </xf>
    <xf numFmtId="166" fontId="0" fillId="0" borderId="0" xfId="0" applyNumberFormat="1" applyAlignment="1" applyProtection="1">
      <alignment horizontal="right"/>
      <protection locked="0"/>
    </xf>
    <xf numFmtId="3" fontId="0" fillId="0" borderId="0" xfId="0" applyNumberFormat="1" applyProtection="1">
      <protection locked="0"/>
    </xf>
    <xf numFmtId="0" fontId="0" fillId="0" borderId="46" xfId="0" applyBorder="1"/>
    <xf numFmtId="0" fontId="0" fillId="0" borderId="5" xfId="0" applyBorder="1" applyAlignment="1" applyProtection="1">
      <alignment horizontal="left"/>
      <protection locked="0"/>
    </xf>
    <xf numFmtId="0" fontId="17" fillId="8" borderId="47" xfId="0" applyFont="1" applyFill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center" vertical="center"/>
    </xf>
    <xf numFmtId="0" fontId="17" fillId="8" borderId="49" xfId="0" applyFont="1" applyFill="1" applyBorder="1" applyAlignment="1">
      <alignment horizontal="center" vertical="center" wrapText="1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3" xfId="0" applyBorder="1"/>
    <xf numFmtId="0" fontId="0" fillId="0" borderId="53" xfId="0" applyBorder="1"/>
    <xf numFmtId="0" fontId="20" fillId="0" borderId="0" xfId="0" applyFont="1" applyAlignment="1">
      <alignment horizontal="center" vertical="center"/>
    </xf>
    <xf numFmtId="0" fontId="19" fillId="0" borderId="54" xfId="0" applyFont="1" applyBorder="1" applyAlignment="1">
      <alignment horizontal="center" vertical="center" wrapText="1" readingOrder="1"/>
    </xf>
    <xf numFmtId="0" fontId="19" fillId="0" borderId="55" xfId="0" applyFont="1" applyBorder="1" applyAlignment="1">
      <alignment horizontal="center" vertical="center" readingOrder="1"/>
    </xf>
    <xf numFmtId="0" fontId="19" fillId="0" borderId="56" xfId="0" applyFont="1" applyBorder="1" applyAlignment="1">
      <alignment horizontal="center" vertical="center" readingOrder="1"/>
    </xf>
    <xf numFmtId="0" fontId="19" fillId="0" borderId="56" xfId="0" applyFont="1" applyBorder="1" applyAlignment="1">
      <alignment horizontal="center" vertical="center" wrapText="1" readingOrder="1"/>
    </xf>
    <xf numFmtId="0" fontId="19" fillId="0" borderId="57" xfId="0" applyFont="1" applyBorder="1" applyAlignment="1">
      <alignment horizontal="center" vertical="center" readingOrder="1"/>
    </xf>
    <xf numFmtId="0" fontId="19" fillId="0" borderId="58" xfId="0" applyFont="1" applyBorder="1" applyAlignment="1">
      <alignment horizontal="center" vertical="center" readingOrder="1"/>
    </xf>
    <xf numFmtId="0" fontId="19" fillId="0" borderId="59" xfId="0" applyFont="1" applyBorder="1" applyAlignment="1">
      <alignment horizontal="center" vertical="center" wrapText="1" readingOrder="1"/>
    </xf>
    <xf numFmtId="0" fontId="19" fillId="0" borderId="60" xfId="0" applyFont="1" applyBorder="1" applyAlignment="1">
      <alignment horizontal="center" vertical="center" readingOrder="1"/>
    </xf>
    <xf numFmtId="0" fontId="19" fillId="0" borderId="61" xfId="0" applyFont="1" applyBorder="1" applyAlignment="1">
      <alignment horizontal="center" vertical="center" readingOrder="1"/>
    </xf>
    <xf numFmtId="0" fontId="19" fillId="0" borderId="61" xfId="0" applyFont="1" applyBorder="1" applyAlignment="1">
      <alignment horizontal="center" vertical="center" wrapText="1" readingOrder="1"/>
    </xf>
    <xf numFmtId="0" fontId="19" fillId="0" borderId="62" xfId="0" applyFont="1" applyBorder="1" applyAlignment="1">
      <alignment horizontal="center" vertical="center" readingOrder="1"/>
    </xf>
    <xf numFmtId="0" fontId="20" fillId="0" borderId="63" xfId="0" applyFont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0" fillId="0" borderId="42" xfId="0" applyBorder="1"/>
    <xf numFmtId="0" fontId="20" fillId="0" borderId="64" xfId="0" applyFont="1" applyBorder="1" applyAlignment="1">
      <alignment horizontal="center"/>
    </xf>
    <xf numFmtId="0" fontId="0" fillId="0" borderId="67" xfId="0" applyBorder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 readingOrder="1"/>
    </xf>
    <xf numFmtId="0" fontId="0" fillId="0" borderId="0" xfId="0"/>
    <xf numFmtId="0" fontId="19" fillId="0" borderId="3" xfId="0" applyFont="1" applyBorder="1" applyAlignment="1">
      <alignment horizontal="center" vertical="center" wrapText="1" readingOrder="1"/>
    </xf>
    <xf numFmtId="0" fontId="15" fillId="6" borderId="0" xfId="0" applyFont="1" applyFill="1" applyBorder="1" applyAlignment="1" applyProtection="1">
      <alignment vertical="center"/>
      <protection locked="0"/>
    </xf>
    <xf numFmtId="4" fontId="0" fillId="0" borderId="0" xfId="0" applyNumberFormat="1"/>
  </cellXfs>
  <cellStyles count="7">
    <cellStyle name="Comma [0]" xfId="1" builtinId="6"/>
    <cellStyle name="Comma [0] 3" xfId="5" xr:uid="{4B9809ED-6D2B-4726-BEC8-75B6C59A9E29}"/>
    <cellStyle name="Comma 10" xfId="4" xr:uid="{0F4DC62C-5327-4336-A01F-B74FDDE7F40E}"/>
    <cellStyle name="Normal" xfId="0" builtinId="0"/>
    <cellStyle name="Normal 2 2" xfId="3" xr:uid="{E36B1589-E455-4C30-AB85-C6AD876B7145}"/>
    <cellStyle name="Normal 2 4 3" xfId="6" xr:uid="{24792C54-5CE0-4221-97F8-58D115CD96B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90</xdr:row>
          <xdr:rowOff>0</xdr:rowOff>
        </xdr:from>
        <xdr:to>
          <xdr:col>11</xdr:col>
          <xdr:colOff>872267</xdr:colOff>
          <xdr:row>90</xdr:row>
          <xdr:rowOff>0</xdr:rowOff>
        </xdr:to>
        <xdr:pic>
          <xdr:nvPicPr>
            <xdr:cNvPr id="2" name="Picture 4">
              <a:extLst>
                <a:ext uri="{FF2B5EF4-FFF2-40B4-BE49-F238E27FC236}">
                  <a16:creationId xmlns:a16="http://schemas.microsoft.com/office/drawing/2014/main" id="{9131F40B-20AC-4F14-A110-10FCD35FB7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#REF!" spid="_x0000_s11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220325" y="27403425"/>
              <a:ext cx="1081817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</xdr:colOff>
      <xdr:row>0</xdr:row>
      <xdr:rowOff>0</xdr:rowOff>
    </xdr:from>
    <xdr:to>
      <xdr:col>10</xdr:col>
      <xdr:colOff>133350</xdr:colOff>
      <xdr:row>1</xdr:row>
      <xdr:rowOff>9525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50AC166-B73B-47AF-9B06-5662E6C9B055}"/>
            </a:ext>
          </a:extLst>
        </xdr:cNvPr>
        <xdr:cNvGrpSpPr/>
      </xdr:nvGrpSpPr>
      <xdr:grpSpPr>
        <a:xfrm>
          <a:off x="1" y="0"/>
          <a:ext cx="11315699" cy="1314450"/>
          <a:chOff x="112059" y="1288676"/>
          <a:chExt cx="9267264" cy="1095208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3051879-AC61-E0A2-CB7E-6B32A70971F2}"/>
              </a:ext>
            </a:extLst>
          </xdr:cNvPr>
          <xdr:cNvSpPr/>
        </xdr:nvSpPr>
        <xdr:spPr>
          <a:xfrm>
            <a:off x="112059" y="1288676"/>
            <a:ext cx="9267264" cy="1095208"/>
          </a:xfrm>
          <a:prstGeom prst="rect">
            <a:avLst/>
          </a:prstGeom>
          <a:noFill/>
          <a:ln w="3175"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23167051-DE29-02B9-3350-D5ABC2541962}"/>
              </a:ext>
            </a:extLst>
          </xdr:cNvPr>
          <xdr:cNvSpPr txBox="1"/>
        </xdr:nvSpPr>
        <xdr:spPr>
          <a:xfrm>
            <a:off x="324970" y="1428194"/>
            <a:ext cx="7992000" cy="631756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US" sz="3200">
                <a:solidFill>
                  <a:schemeClr val="tx1">
                    <a:lumMod val="75000"/>
                    <a:lumOff val="25000"/>
                  </a:schemeClr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NOTES TO THE FINANCIAL STATEMENTS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D7A78C10-A648-99D4-6A05-01042436F990}"/>
              </a:ext>
            </a:extLst>
          </xdr:cNvPr>
          <xdr:cNvSpPr txBox="1"/>
        </xdr:nvSpPr>
        <xdr:spPr>
          <a:xfrm>
            <a:off x="336175" y="1902553"/>
            <a:ext cx="7218682" cy="266429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400" b="1">
                <a:solidFill>
                  <a:schemeClr val="accent6">
                    <a:lumMod val="75000"/>
                  </a:schemeClr>
                </a:solidFill>
                <a:latin typeface="+mn-lt"/>
                <a:cs typeface="Segoe UI" panose="020B0502040204020203" pitchFamily="34" charset="0"/>
              </a:rPr>
              <a:t>FOR THE PERIOD ENDED 31st</a:t>
            </a:r>
            <a:r>
              <a:rPr lang="en-US" sz="1400" b="1" baseline="0">
                <a:solidFill>
                  <a:schemeClr val="accent6">
                    <a:lumMod val="75000"/>
                  </a:schemeClr>
                </a:solidFill>
                <a:latin typeface="+mn-lt"/>
                <a:cs typeface="Segoe UI" panose="020B0502040204020203" pitchFamily="34" charset="0"/>
              </a:rPr>
              <a:t> JUY </a:t>
            </a:r>
            <a:r>
              <a:rPr lang="en-US" sz="1400" b="1">
                <a:solidFill>
                  <a:schemeClr val="accent6">
                    <a:lumMod val="75000"/>
                  </a:schemeClr>
                </a:solidFill>
                <a:latin typeface="+mn-lt"/>
                <a:cs typeface="Segoe UI" panose="020B0502040204020203" pitchFamily="34" charset="0"/>
              </a:rPr>
              <a:t>2024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1.%20Clients%20Data\1.%20%20%20Bookkeeping\1.%20Active%20Clients\1.%20The%20Kandle%20Co\Clients%20Data\1.%20Monthly%20Data\2024\July%202024\Report%20July%202024\5.The%20Kandle%20Co.%20FS%20Report%20July%202024%20-%20Copy.xlsm" TargetMode="External"/><Relationship Id="rId1" Type="http://schemas.openxmlformats.org/officeDocument/2006/relationships/externalLinkPath" Target="file:///G:\My%20Drive\1.%20Clients%20Data\1.%20%20%20Bookkeeping\1.%20Active%20Clients\1.%20The%20Kandle%20Co\Clients%20Data\1.%20Monthly%20Data\2024\July%202024\Report%20July%202024\5.The%20Kandle%20Co.%20FS%20Report%20July%202024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 Financial Dashboar"/>
      <sheetName val="Cover"/>
      <sheetName val="BS"/>
      <sheetName val="PL"/>
      <sheetName val="F.A"/>
      <sheetName val="PL (2)"/>
      <sheetName val="SOCIE"/>
      <sheetName val="CF"/>
      <sheetName val="P &amp; L SK Acc"/>
      <sheetName val="BS SK Accounting"/>
      <sheetName val="Policies"/>
      <sheetName val="Notes"/>
      <sheetName val="Notes (2)"/>
      <sheetName val="Sheet7"/>
      <sheetName val="Sheet8"/>
      <sheetName val="P &amp; L JUNE 24"/>
      <sheetName val="BS June 24"/>
      <sheetName val="Balance Sheet May 2024"/>
      <sheetName val="May P&amp;L 2024"/>
      <sheetName val="P &amp; L Apr 24 "/>
      <sheetName val="BS 2024 APr"/>
      <sheetName val="Trial"/>
      <sheetName val="Sheet5"/>
      <sheetName val="GL"/>
      <sheetName val="Ledger"/>
      <sheetName val="Back Stage"/>
      <sheetName val="Sheet4"/>
      <sheetName val="Aug CGS &amp; Commis.."/>
      <sheetName val="Sep CGS &amp; Commision"/>
      <sheetName val="Oct CGS &amp; Commis.. (2)"/>
      <sheetName val="Nov 2023"/>
      <sheetName val="Rawal Autos"/>
      <sheetName val="16-2-2023"/>
      <sheetName val="Sheet6"/>
      <sheetName val="Banks MAtching"/>
      <sheetName val="Sheet3"/>
      <sheetName val="Log"/>
      <sheetName val="Sheet1"/>
      <sheetName val="Sheet2"/>
      <sheetName val="Rough"/>
      <sheetName val="Voucher"/>
      <sheetName val="Draft Voucher"/>
      <sheetName val="Misc"/>
      <sheetName val="GL Report"/>
      <sheetName val="DraftGL"/>
      <sheetName val="GL 2018"/>
      <sheetName val="Voucher (2)"/>
    </sheetNames>
    <sheetDataSet>
      <sheetData sheetId="0"/>
      <sheetData sheetId="1"/>
      <sheetData sheetId="2"/>
      <sheetData sheetId="3"/>
      <sheetData sheetId="4">
        <row r="1">
          <cell r="A1">
            <v>3</v>
          </cell>
        </row>
      </sheetData>
      <sheetData sheetId="5">
        <row r="39">
          <cell r="C39" t="str">
            <v xml:space="preserve">         MUHAMMAD ZUBAIR KAMRAN </v>
          </cell>
        </row>
        <row r="40">
          <cell r="C40" t="str">
            <v xml:space="preserve">         MUHAMMAD BILAL </v>
          </cell>
        </row>
        <row r="41">
          <cell r="C41" t="str">
            <v xml:space="preserve">         MUHAMMAD BABAR </v>
          </cell>
        </row>
        <row r="43">
          <cell r="C43" t="str">
            <v xml:space="preserve">         EHTISHAM AJAZ</v>
          </cell>
        </row>
        <row r="44">
          <cell r="C44" t="str">
            <v xml:space="preserve">         MUHAMMAD MUMTAZ</v>
          </cell>
          <cell r="E44">
            <v>11000</v>
          </cell>
        </row>
      </sheetData>
      <sheetData sheetId="6"/>
      <sheetData sheetId="7">
        <row r="10">
          <cell r="E10" t="str">
            <v>2024
RUPEES</v>
          </cell>
        </row>
      </sheetData>
      <sheetData sheetId="8"/>
      <sheetData sheetId="9"/>
      <sheetData sheetId="10"/>
      <sheetData sheetId="11">
        <row r="44">
          <cell r="J44">
            <v>152851</v>
          </cell>
        </row>
        <row r="45">
          <cell r="J45">
            <v>342251</v>
          </cell>
        </row>
        <row r="46">
          <cell r="J46">
            <v>160502</v>
          </cell>
        </row>
      </sheetData>
      <sheetData sheetId="12"/>
      <sheetData sheetId="13">
        <row r="8">
          <cell r="C8">
            <v>100600</v>
          </cell>
        </row>
        <row r="9">
          <cell r="C9">
            <v>297200</v>
          </cell>
        </row>
        <row r="10">
          <cell r="C10">
            <v>169900</v>
          </cell>
        </row>
        <row r="11">
          <cell r="C11">
            <v>32400</v>
          </cell>
        </row>
        <row r="12">
          <cell r="C12">
            <v>145300</v>
          </cell>
        </row>
        <row r="13">
          <cell r="C13">
            <v>151000</v>
          </cell>
        </row>
        <row r="14">
          <cell r="C14">
            <v>498500</v>
          </cell>
        </row>
        <row r="15">
          <cell r="C15">
            <v>35100</v>
          </cell>
        </row>
        <row r="16">
          <cell r="C16">
            <v>126700</v>
          </cell>
        </row>
        <row r="17">
          <cell r="C17">
            <v>281666.25</v>
          </cell>
        </row>
        <row r="18">
          <cell r="C18">
            <v>36900</v>
          </cell>
        </row>
        <row r="19">
          <cell r="C19">
            <v>416000</v>
          </cell>
        </row>
        <row r="21">
          <cell r="C21">
            <v>625400</v>
          </cell>
        </row>
        <row r="36">
          <cell r="C36">
            <v>1270833.81</v>
          </cell>
        </row>
        <row r="38">
          <cell r="C38">
            <v>7821.78</v>
          </cell>
        </row>
        <row r="39">
          <cell r="C39">
            <v>70035.86</v>
          </cell>
        </row>
        <row r="48">
          <cell r="C48">
            <v>60257.38</v>
          </cell>
        </row>
        <row r="49">
          <cell r="C49">
            <v>6347.8</v>
          </cell>
        </row>
        <row r="51">
          <cell r="C51">
            <v>1000</v>
          </cell>
        </row>
        <row r="52">
          <cell r="C52">
            <v>10268</v>
          </cell>
        </row>
        <row r="53">
          <cell r="C53">
            <v>810</v>
          </cell>
        </row>
        <row r="56">
          <cell r="C56">
            <v>6597</v>
          </cell>
        </row>
        <row r="57">
          <cell r="C57">
            <v>2588</v>
          </cell>
        </row>
        <row r="58">
          <cell r="C58">
            <v>6561</v>
          </cell>
        </row>
        <row r="59">
          <cell r="C59">
            <v>42000</v>
          </cell>
        </row>
      </sheetData>
      <sheetData sheetId="14">
        <row r="8">
          <cell r="F8">
            <v>999945</v>
          </cell>
        </row>
        <row r="9">
          <cell r="F9">
            <v>18080</v>
          </cell>
        </row>
        <row r="10">
          <cell r="F10">
            <v>979135</v>
          </cell>
        </row>
        <row r="11">
          <cell r="F11">
            <v>778035</v>
          </cell>
        </row>
        <row r="12">
          <cell r="F12">
            <v>83760</v>
          </cell>
        </row>
        <row r="13">
          <cell r="F13">
            <v>101360</v>
          </cell>
        </row>
        <row r="14">
          <cell r="F14">
            <v>382400</v>
          </cell>
        </row>
        <row r="15">
          <cell r="F15">
            <v>249274</v>
          </cell>
        </row>
        <row r="16">
          <cell r="F16">
            <v>369586</v>
          </cell>
        </row>
      </sheetData>
      <sheetData sheetId="15"/>
      <sheetData sheetId="16"/>
      <sheetData sheetId="17"/>
      <sheetData sheetId="18">
        <row r="56">
          <cell r="C56">
            <v>30000</v>
          </cell>
        </row>
      </sheetData>
      <sheetData sheetId="19"/>
      <sheetData sheetId="20"/>
      <sheetData sheetId="21">
        <row r="8">
          <cell r="J8">
            <v>-621473</v>
          </cell>
        </row>
        <row r="9">
          <cell r="J9">
            <v>2117869</v>
          </cell>
        </row>
        <row r="10">
          <cell r="J10">
            <v>-1696714.0199999968</v>
          </cell>
        </row>
        <row r="64">
          <cell r="B64" t="str">
            <v>Sales Revenue Lavilla</v>
          </cell>
        </row>
        <row r="85">
          <cell r="B85" t="str">
            <v>Cost of Goods Sold</v>
          </cell>
        </row>
        <row r="93">
          <cell r="B93" t="str">
            <v>Shopify Fee</v>
          </cell>
        </row>
        <row r="97">
          <cell r="B97" t="str">
            <v>Wages &amp; Salaries</v>
          </cell>
        </row>
        <row r="101">
          <cell r="B101" t="str">
            <v>Accounting &amp; Legal</v>
          </cell>
        </row>
        <row r="106">
          <cell r="B106" t="str">
            <v>Postage &amp; Shipping</v>
          </cell>
        </row>
        <row r="108">
          <cell r="B108" t="str">
            <v>LaVilla Card Charges</v>
          </cell>
        </row>
        <row r="112">
          <cell r="B112" t="str">
            <v>Rent</v>
          </cell>
        </row>
        <row r="114">
          <cell r="B114" t="str">
            <v>Internet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E481-FCE6-46B0-8870-11BC0FDF3EAF}">
  <dimension ref="A1:H966"/>
  <sheetViews>
    <sheetView tabSelected="1" workbookViewId="0">
      <pane ySplit="7" topLeftCell="A940" activePane="bottomLeft" state="frozen"/>
      <selection pane="bottomLeft" activeCell="H9" sqref="H9"/>
    </sheetView>
  </sheetViews>
  <sheetFormatPr defaultRowHeight="15" x14ac:dyDescent="0.25"/>
  <cols>
    <col min="1" max="1" width="16" customWidth="1"/>
    <col min="2" max="2" width="38.85546875" bestFit="1" customWidth="1"/>
    <col min="3" max="3" width="9.28515625" customWidth="1"/>
    <col min="4" max="4" width="15.7109375" customWidth="1"/>
    <col min="5" max="5" width="16.85546875" customWidth="1"/>
    <col min="6" max="6" width="18.7109375" customWidth="1"/>
    <col min="7" max="7" width="18.140625" customWidth="1"/>
    <col min="8" max="8" width="17.7109375" bestFit="1" customWidth="1"/>
  </cols>
  <sheetData>
    <row r="1" spans="1:8" ht="20.25" x14ac:dyDescent="0.3">
      <c r="A1" s="8" t="s">
        <v>195</v>
      </c>
      <c r="B1" s="8"/>
      <c r="C1" s="8"/>
      <c r="D1" s="8"/>
      <c r="E1" s="9"/>
      <c r="F1" s="9"/>
    </row>
    <row r="2" spans="1:8" x14ac:dyDescent="0.25">
      <c r="A2" s="10" t="s">
        <v>196</v>
      </c>
      <c r="B2" s="10" t="s">
        <v>197</v>
      </c>
      <c r="C2" s="9"/>
      <c r="D2" s="10" t="s">
        <v>198</v>
      </c>
      <c r="E2" s="9"/>
      <c r="F2" s="9"/>
    </row>
    <row r="3" spans="1:8" x14ac:dyDescent="0.25">
      <c r="A3" s="10" t="s">
        <v>199</v>
      </c>
      <c r="B3" s="10" t="s">
        <v>200</v>
      </c>
      <c r="C3" s="9"/>
      <c r="D3" s="10" t="s">
        <v>201</v>
      </c>
      <c r="E3" s="9"/>
      <c r="F3" s="9"/>
    </row>
    <row r="4" spans="1:8" x14ac:dyDescent="0.25">
      <c r="A4" s="9" t="s">
        <v>202</v>
      </c>
      <c r="B4" s="10" t="s">
        <v>203</v>
      </c>
      <c r="C4" s="9"/>
      <c r="D4" s="10" t="s">
        <v>204</v>
      </c>
      <c r="E4" s="9"/>
      <c r="F4" s="9"/>
    </row>
    <row r="5" spans="1:8" x14ac:dyDescent="0.25">
      <c r="A5" s="9" t="s">
        <v>205</v>
      </c>
      <c r="B5" s="10" t="s">
        <v>206</v>
      </c>
      <c r="C5" s="9"/>
      <c r="D5" s="9"/>
      <c r="E5" s="9"/>
      <c r="F5" s="9"/>
    </row>
    <row r="6" spans="1:8" ht="15.75" thickBot="1" x14ac:dyDescent="0.3">
      <c r="A6" s="9" t="s">
        <v>207</v>
      </c>
      <c r="B6" s="10" t="s">
        <v>208</v>
      </c>
      <c r="C6" s="9"/>
      <c r="D6" s="9"/>
      <c r="E6" s="9"/>
      <c r="F6" s="9"/>
    </row>
    <row r="7" spans="1:8" ht="23.25" customHeight="1" thickBot="1" x14ac:dyDescent="0.3">
      <c r="A7" s="95" t="s">
        <v>209</v>
      </c>
      <c r="B7" s="96" t="s">
        <v>210</v>
      </c>
      <c r="C7" s="96" t="s">
        <v>211</v>
      </c>
      <c r="D7" s="97" t="s">
        <v>212</v>
      </c>
      <c r="E7" s="96" t="s">
        <v>213</v>
      </c>
      <c r="F7" s="98" t="s">
        <v>214</v>
      </c>
      <c r="G7" s="147" t="s">
        <v>461</v>
      </c>
      <c r="H7" s="187" t="s">
        <v>486</v>
      </c>
    </row>
    <row r="8" spans="1:8" x14ac:dyDescent="0.25">
      <c r="A8" s="89">
        <v>45474</v>
      </c>
      <c r="B8" s="90"/>
      <c r="C8" s="90"/>
      <c r="D8" s="90"/>
      <c r="E8" s="90"/>
      <c r="F8" s="90"/>
    </row>
    <row r="9" spans="1:8" x14ac:dyDescent="0.25">
      <c r="A9" s="11" t="s">
        <v>215</v>
      </c>
      <c r="B9" s="6" t="s">
        <v>216</v>
      </c>
      <c r="C9" s="6" t="s">
        <v>217</v>
      </c>
      <c r="D9" s="7">
        <v>21</v>
      </c>
      <c r="E9" s="13">
        <v>731.7</v>
      </c>
      <c r="F9" s="13">
        <f>D9*E9</f>
        <v>15365.7</v>
      </c>
      <c r="G9">
        <v>2000</v>
      </c>
      <c r="H9" s="188">
        <f>G9*D9</f>
        <v>42000</v>
      </c>
    </row>
    <row r="10" spans="1:8" x14ac:dyDescent="0.25">
      <c r="A10" s="11" t="s">
        <v>218</v>
      </c>
      <c r="B10" s="6" t="s">
        <v>219</v>
      </c>
      <c r="C10" s="6" t="s">
        <v>217</v>
      </c>
      <c r="D10" s="7">
        <v>15</v>
      </c>
      <c r="E10" s="13">
        <v>731.7</v>
      </c>
      <c r="F10" s="13">
        <f t="shared" ref="F10:F73" si="0">D10*E10</f>
        <v>10975.5</v>
      </c>
      <c r="G10">
        <v>2000</v>
      </c>
      <c r="H10" s="188">
        <f t="shared" ref="H10:H73" si="1">G10*D10</f>
        <v>30000</v>
      </c>
    </row>
    <row r="11" spans="1:8" x14ac:dyDescent="0.25">
      <c r="A11" s="11" t="s">
        <v>220</v>
      </c>
      <c r="B11" s="6" t="s">
        <v>221</v>
      </c>
      <c r="C11" s="6" t="s">
        <v>217</v>
      </c>
      <c r="D11" s="7">
        <v>11</v>
      </c>
      <c r="E11" s="13">
        <v>731.7</v>
      </c>
      <c r="F11" s="13">
        <f t="shared" si="0"/>
        <v>8048.7000000000007</v>
      </c>
      <c r="G11">
        <v>2000</v>
      </c>
      <c r="H11" s="188">
        <f t="shared" si="1"/>
        <v>22000</v>
      </c>
    </row>
    <row r="12" spans="1:8" x14ac:dyDescent="0.25">
      <c r="A12" s="11" t="s">
        <v>222</v>
      </c>
      <c r="B12" s="6" t="s">
        <v>223</v>
      </c>
      <c r="C12" s="6" t="s">
        <v>217</v>
      </c>
      <c r="D12" s="7">
        <v>27</v>
      </c>
      <c r="E12" s="13">
        <v>731.7</v>
      </c>
      <c r="F12" s="13">
        <f t="shared" si="0"/>
        <v>19755.900000000001</v>
      </c>
      <c r="G12">
        <v>2000</v>
      </c>
      <c r="H12" s="188">
        <f t="shared" si="1"/>
        <v>54000</v>
      </c>
    </row>
    <row r="13" spans="1:8" x14ac:dyDescent="0.25">
      <c r="A13" s="11" t="s">
        <v>224</v>
      </c>
      <c r="B13" s="6" t="s">
        <v>225</v>
      </c>
      <c r="C13" s="6" t="s">
        <v>217</v>
      </c>
      <c r="D13" s="7">
        <v>21</v>
      </c>
      <c r="E13" s="13">
        <v>731.7</v>
      </c>
      <c r="F13" s="13">
        <f t="shared" si="0"/>
        <v>15365.7</v>
      </c>
      <c r="G13">
        <v>2000</v>
      </c>
      <c r="H13" s="188">
        <f t="shared" si="1"/>
        <v>42000</v>
      </c>
    </row>
    <row r="14" spans="1:8" x14ac:dyDescent="0.25">
      <c r="A14" s="11" t="s">
        <v>226</v>
      </c>
      <c r="B14" s="6" t="s">
        <v>227</v>
      </c>
      <c r="C14" s="6" t="s">
        <v>217</v>
      </c>
      <c r="D14" s="7">
        <v>24</v>
      </c>
      <c r="E14" s="13">
        <v>731.7</v>
      </c>
      <c r="F14" s="13">
        <f t="shared" si="0"/>
        <v>17560.800000000003</v>
      </c>
      <c r="G14">
        <v>2000</v>
      </c>
      <c r="H14" s="188">
        <f t="shared" si="1"/>
        <v>48000</v>
      </c>
    </row>
    <row r="15" spans="1:8" x14ac:dyDescent="0.25">
      <c r="A15" s="11" t="s">
        <v>228</v>
      </c>
      <c r="B15" s="6" t="s">
        <v>229</v>
      </c>
      <c r="C15" s="6" t="s">
        <v>217</v>
      </c>
      <c r="D15" s="7">
        <v>14</v>
      </c>
      <c r="E15" s="13">
        <v>731.7</v>
      </c>
      <c r="F15" s="13">
        <f t="shared" si="0"/>
        <v>10243.800000000001</v>
      </c>
      <c r="G15">
        <v>2000</v>
      </c>
      <c r="H15" s="188">
        <f t="shared" si="1"/>
        <v>28000</v>
      </c>
    </row>
    <row r="16" spans="1:8" x14ac:dyDescent="0.25">
      <c r="A16" s="11" t="s">
        <v>230</v>
      </c>
      <c r="B16" s="6" t="s">
        <v>231</v>
      </c>
      <c r="C16" s="6" t="s">
        <v>217</v>
      </c>
      <c r="D16" s="7">
        <v>28</v>
      </c>
      <c r="E16" s="13">
        <v>731.7</v>
      </c>
      <c r="F16" s="13">
        <f t="shared" si="0"/>
        <v>20487.600000000002</v>
      </c>
      <c r="G16">
        <v>2000</v>
      </c>
      <c r="H16" s="188">
        <f t="shared" si="1"/>
        <v>56000</v>
      </c>
    </row>
    <row r="17" spans="1:8" x14ac:dyDescent="0.25">
      <c r="A17" s="11" t="s">
        <v>232</v>
      </c>
      <c r="B17" s="6" t="s">
        <v>233</v>
      </c>
      <c r="C17" s="6" t="s">
        <v>217</v>
      </c>
      <c r="D17" s="7">
        <v>21</v>
      </c>
      <c r="E17" s="13">
        <v>731.7</v>
      </c>
      <c r="F17" s="13">
        <f t="shared" si="0"/>
        <v>15365.7</v>
      </c>
      <c r="G17">
        <v>2000</v>
      </c>
      <c r="H17" s="188">
        <f t="shared" si="1"/>
        <v>42000</v>
      </c>
    </row>
    <row r="18" spans="1:8" x14ac:dyDescent="0.25">
      <c r="A18" s="11" t="s">
        <v>234</v>
      </c>
      <c r="B18" s="6" t="s">
        <v>235</v>
      </c>
      <c r="C18" s="6" t="s">
        <v>217</v>
      </c>
      <c r="D18" s="7">
        <v>21</v>
      </c>
      <c r="E18" s="13">
        <v>731.7</v>
      </c>
      <c r="F18" s="13">
        <f t="shared" si="0"/>
        <v>15365.7</v>
      </c>
      <c r="G18">
        <v>2000</v>
      </c>
      <c r="H18" s="188">
        <f t="shared" si="1"/>
        <v>42000</v>
      </c>
    </row>
    <row r="19" spans="1:8" x14ac:dyDescent="0.25">
      <c r="A19" s="11" t="s">
        <v>236</v>
      </c>
      <c r="B19" s="6" t="s">
        <v>237</v>
      </c>
      <c r="C19" s="6" t="s">
        <v>217</v>
      </c>
      <c r="D19" s="7">
        <v>27</v>
      </c>
      <c r="E19" s="13">
        <v>731.7</v>
      </c>
      <c r="F19" s="13">
        <f t="shared" si="0"/>
        <v>19755.900000000001</v>
      </c>
      <c r="G19">
        <v>2000</v>
      </c>
      <c r="H19" s="188">
        <f t="shared" si="1"/>
        <v>54000</v>
      </c>
    </row>
    <row r="20" spans="1:8" x14ac:dyDescent="0.25">
      <c r="A20" s="11" t="s">
        <v>238</v>
      </c>
      <c r="B20" s="6" t="s">
        <v>239</v>
      </c>
      <c r="C20" s="6" t="s">
        <v>217</v>
      </c>
      <c r="D20" s="7">
        <v>12</v>
      </c>
      <c r="E20" s="13">
        <v>731.7</v>
      </c>
      <c r="F20" s="13">
        <f t="shared" si="0"/>
        <v>8780.4000000000015</v>
      </c>
      <c r="G20">
        <v>2000</v>
      </c>
      <c r="H20" s="188">
        <f t="shared" si="1"/>
        <v>24000</v>
      </c>
    </row>
    <row r="21" spans="1:8" x14ac:dyDescent="0.25">
      <c r="A21" s="11" t="s">
        <v>240</v>
      </c>
      <c r="B21" s="6" t="s">
        <v>241</v>
      </c>
      <c r="C21" s="6" t="s">
        <v>217</v>
      </c>
      <c r="D21" s="7">
        <v>13</v>
      </c>
      <c r="E21" s="13">
        <v>731.7</v>
      </c>
      <c r="F21" s="13">
        <f t="shared" si="0"/>
        <v>9512.1</v>
      </c>
      <c r="G21">
        <v>2000</v>
      </c>
      <c r="H21" s="188">
        <f t="shared" si="1"/>
        <v>26000</v>
      </c>
    </row>
    <row r="22" spans="1:8" x14ac:dyDescent="0.25">
      <c r="A22" s="11" t="s">
        <v>242</v>
      </c>
      <c r="B22" s="6" t="s">
        <v>243</v>
      </c>
      <c r="C22" s="6" t="s">
        <v>217</v>
      </c>
      <c r="D22" s="7">
        <v>33</v>
      </c>
      <c r="E22" s="13">
        <v>731.7</v>
      </c>
      <c r="F22" s="13">
        <f t="shared" si="0"/>
        <v>24146.100000000002</v>
      </c>
      <c r="G22">
        <v>2000</v>
      </c>
      <c r="H22" s="188">
        <f t="shared" si="1"/>
        <v>66000</v>
      </c>
    </row>
    <row r="23" spans="1:8" x14ac:dyDescent="0.25">
      <c r="A23" s="11" t="s">
        <v>244</v>
      </c>
      <c r="B23" s="6" t="s">
        <v>245</v>
      </c>
      <c r="C23" s="6" t="s">
        <v>217</v>
      </c>
      <c r="D23" s="7">
        <v>7</v>
      </c>
      <c r="E23" s="13">
        <v>1597.7</v>
      </c>
      <c r="F23" s="13">
        <f t="shared" si="0"/>
        <v>11183.9</v>
      </c>
      <c r="G23">
        <v>3800</v>
      </c>
      <c r="H23" s="188">
        <f t="shared" si="1"/>
        <v>26600</v>
      </c>
    </row>
    <row r="24" spans="1:8" x14ac:dyDescent="0.25">
      <c r="A24" s="11" t="s">
        <v>246</v>
      </c>
      <c r="B24" s="6" t="s">
        <v>247</v>
      </c>
      <c r="C24" s="6" t="s">
        <v>217</v>
      </c>
      <c r="D24" s="7">
        <v>5</v>
      </c>
      <c r="E24" s="13">
        <v>1597.7</v>
      </c>
      <c r="F24" s="13">
        <f t="shared" si="0"/>
        <v>7988.5</v>
      </c>
      <c r="G24">
        <v>3800</v>
      </c>
      <c r="H24" s="188">
        <f t="shared" si="1"/>
        <v>19000</v>
      </c>
    </row>
    <row r="25" spans="1:8" x14ac:dyDescent="0.25">
      <c r="A25" s="11" t="s">
        <v>248</v>
      </c>
      <c r="B25" s="6" t="s">
        <v>249</v>
      </c>
      <c r="C25" s="6" t="s">
        <v>217</v>
      </c>
      <c r="D25" s="7">
        <v>4</v>
      </c>
      <c r="E25" s="13">
        <v>1597.7</v>
      </c>
      <c r="F25" s="13">
        <f t="shared" si="0"/>
        <v>6390.8</v>
      </c>
      <c r="G25">
        <v>3800</v>
      </c>
      <c r="H25" s="188">
        <f t="shared" si="1"/>
        <v>15200</v>
      </c>
    </row>
    <row r="26" spans="1:8" x14ac:dyDescent="0.25">
      <c r="A26" s="11" t="s">
        <v>250</v>
      </c>
      <c r="B26" s="6" t="s">
        <v>251</v>
      </c>
      <c r="C26" s="6" t="s">
        <v>217</v>
      </c>
      <c r="D26" s="7">
        <v>10</v>
      </c>
      <c r="E26" s="13">
        <v>1597.7</v>
      </c>
      <c r="F26" s="13">
        <f t="shared" si="0"/>
        <v>15977</v>
      </c>
      <c r="G26">
        <v>3800</v>
      </c>
      <c r="H26" s="188">
        <f t="shared" si="1"/>
        <v>38000</v>
      </c>
    </row>
    <row r="27" spans="1:8" x14ac:dyDescent="0.25">
      <c r="A27" s="11" t="s">
        <v>252</v>
      </c>
      <c r="B27" s="6" t="s">
        <v>253</v>
      </c>
      <c r="C27" s="6" t="s">
        <v>217</v>
      </c>
      <c r="D27" s="7">
        <v>16</v>
      </c>
      <c r="E27" s="13">
        <v>1597.7</v>
      </c>
      <c r="F27" s="13">
        <f t="shared" si="0"/>
        <v>25563.200000000001</v>
      </c>
      <c r="G27">
        <v>3800</v>
      </c>
      <c r="H27" s="188">
        <f t="shared" si="1"/>
        <v>60800</v>
      </c>
    </row>
    <row r="28" spans="1:8" x14ac:dyDescent="0.25">
      <c r="A28" s="11" t="s">
        <v>254</v>
      </c>
      <c r="B28" s="6" t="s">
        <v>255</v>
      </c>
      <c r="C28" s="6" t="s">
        <v>217</v>
      </c>
      <c r="D28" s="7">
        <v>10</v>
      </c>
      <c r="E28" s="13">
        <v>1597.7</v>
      </c>
      <c r="F28" s="13">
        <f t="shared" si="0"/>
        <v>15977</v>
      </c>
      <c r="G28">
        <v>3800</v>
      </c>
      <c r="H28" s="188">
        <f t="shared" si="1"/>
        <v>38000</v>
      </c>
    </row>
    <row r="29" spans="1:8" x14ac:dyDescent="0.25">
      <c r="A29" s="11" t="s">
        <v>256</v>
      </c>
      <c r="B29" s="6" t="s">
        <v>257</v>
      </c>
      <c r="C29" s="6" t="s">
        <v>217</v>
      </c>
      <c r="D29" s="7">
        <v>15</v>
      </c>
      <c r="E29" s="13">
        <v>1597.7</v>
      </c>
      <c r="F29" s="13">
        <f t="shared" si="0"/>
        <v>23965.5</v>
      </c>
      <c r="G29">
        <v>3800</v>
      </c>
      <c r="H29" s="188">
        <f t="shared" si="1"/>
        <v>57000</v>
      </c>
    </row>
    <row r="30" spans="1:8" x14ac:dyDescent="0.25">
      <c r="A30" s="11" t="s">
        <v>258</v>
      </c>
      <c r="B30" s="6" t="s">
        <v>259</v>
      </c>
      <c r="C30" s="6" t="s">
        <v>217</v>
      </c>
      <c r="D30" s="7">
        <v>22</v>
      </c>
      <c r="E30" s="13">
        <v>1597.7</v>
      </c>
      <c r="F30" s="13">
        <f t="shared" si="0"/>
        <v>35149.4</v>
      </c>
      <c r="G30">
        <v>3800</v>
      </c>
      <c r="H30" s="188">
        <f t="shared" si="1"/>
        <v>83600</v>
      </c>
    </row>
    <row r="31" spans="1:8" x14ac:dyDescent="0.25">
      <c r="A31" s="11" t="s">
        <v>260</v>
      </c>
      <c r="B31" s="6" t="s">
        <v>261</v>
      </c>
      <c r="C31" s="6" t="s">
        <v>217</v>
      </c>
      <c r="D31" s="7">
        <v>15</v>
      </c>
      <c r="E31" s="13">
        <v>1597.7</v>
      </c>
      <c r="F31" s="13">
        <f t="shared" si="0"/>
        <v>23965.5</v>
      </c>
      <c r="G31">
        <v>3800</v>
      </c>
      <c r="H31" s="188">
        <f t="shared" si="1"/>
        <v>57000</v>
      </c>
    </row>
    <row r="32" spans="1:8" x14ac:dyDescent="0.25">
      <c r="A32" s="11" t="s">
        <v>262</v>
      </c>
      <c r="B32" s="6" t="s">
        <v>263</v>
      </c>
      <c r="C32" s="6" t="s">
        <v>217</v>
      </c>
      <c r="D32" s="7">
        <v>12</v>
      </c>
      <c r="E32" s="13">
        <v>1597.7</v>
      </c>
      <c r="F32" s="13">
        <f t="shared" si="0"/>
        <v>19172.400000000001</v>
      </c>
      <c r="G32">
        <v>3800</v>
      </c>
      <c r="H32" s="188">
        <f t="shared" si="1"/>
        <v>45600</v>
      </c>
    </row>
    <row r="33" spans="1:8" x14ac:dyDescent="0.25">
      <c r="A33" s="11" t="s">
        <v>264</v>
      </c>
      <c r="B33" s="6" t="s">
        <v>265</v>
      </c>
      <c r="C33" s="6" t="s">
        <v>217</v>
      </c>
      <c r="D33" s="7">
        <v>11</v>
      </c>
      <c r="E33" s="13">
        <v>1597.7</v>
      </c>
      <c r="F33" s="13">
        <f t="shared" si="0"/>
        <v>17574.7</v>
      </c>
      <c r="G33">
        <v>3800</v>
      </c>
      <c r="H33" s="188">
        <f t="shared" si="1"/>
        <v>41800</v>
      </c>
    </row>
    <row r="34" spans="1:8" x14ac:dyDescent="0.25">
      <c r="A34" s="11" t="s">
        <v>266</v>
      </c>
      <c r="B34" s="6" t="s">
        <v>267</v>
      </c>
      <c r="C34" s="6" t="s">
        <v>217</v>
      </c>
      <c r="D34" s="7">
        <v>5</v>
      </c>
      <c r="E34" s="13">
        <v>1597.7</v>
      </c>
      <c r="F34" s="13">
        <f t="shared" si="0"/>
        <v>7988.5</v>
      </c>
      <c r="G34">
        <v>3800</v>
      </c>
      <c r="H34" s="188">
        <f t="shared" si="1"/>
        <v>19000</v>
      </c>
    </row>
    <row r="35" spans="1:8" x14ac:dyDescent="0.25">
      <c r="A35" s="11" t="s">
        <v>268</v>
      </c>
      <c r="B35" s="6" t="s">
        <v>269</v>
      </c>
      <c r="C35" s="6" t="s">
        <v>217</v>
      </c>
      <c r="D35" s="7">
        <v>7</v>
      </c>
      <c r="E35" s="13">
        <v>1597.7</v>
      </c>
      <c r="F35" s="13">
        <f t="shared" si="0"/>
        <v>11183.9</v>
      </c>
      <c r="G35">
        <v>3800</v>
      </c>
      <c r="H35" s="188">
        <f t="shared" si="1"/>
        <v>26600</v>
      </c>
    </row>
    <row r="36" spans="1:8" x14ac:dyDescent="0.25">
      <c r="A36" s="11" t="s">
        <v>270</v>
      </c>
      <c r="B36" s="6" t="s">
        <v>271</v>
      </c>
      <c r="C36" s="6" t="s">
        <v>217</v>
      </c>
      <c r="D36" s="7">
        <v>11</v>
      </c>
      <c r="E36" s="13">
        <v>1597.7</v>
      </c>
      <c r="F36" s="13">
        <f t="shared" si="0"/>
        <v>17574.7</v>
      </c>
      <c r="G36">
        <v>3800</v>
      </c>
      <c r="H36" s="188">
        <f t="shared" si="1"/>
        <v>41800</v>
      </c>
    </row>
    <row r="37" spans="1:8" x14ac:dyDescent="0.25">
      <c r="A37" s="11" t="s">
        <v>272</v>
      </c>
      <c r="B37" s="6" t="s">
        <v>273</v>
      </c>
      <c r="C37" s="6" t="s">
        <v>217</v>
      </c>
      <c r="D37" s="7">
        <v>7</v>
      </c>
      <c r="E37" s="13">
        <v>832</v>
      </c>
      <c r="F37" s="13">
        <f t="shared" si="0"/>
        <v>5824</v>
      </c>
      <c r="G37">
        <v>2700</v>
      </c>
      <c r="H37" s="188">
        <f t="shared" si="1"/>
        <v>18900</v>
      </c>
    </row>
    <row r="38" spans="1:8" x14ac:dyDescent="0.25">
      <c r="A38" s="11" t="s">
        <v>274</v>
      </c>
      <c r="B38" s="6" t="s">
        <v>275</v>
      </c>
      <c r="C38" s="6" t="s">
        <v>217</v>
      </c>
      <c r="D38" s="7">
        <v>20</v>
      </c>
      <c r="E38" s="13">
        <v>832</v>
      </c>
      <c r="F38" s="13">
        <f t="shared" si="0"/>
        <v>16640</v>
      </c>
      <c r="G38">
        <v>2700</v>
      </c>
      <c r="H38" s="188">
        <f t="shared" si="1"/>
        <v>54000</v>
      </c>
    </row>
    <row r="39" spans="1:8" x14ac:dyDescent="0.25">
      <c r="A39" s="11" t="s">
        <v>276</v>
      </c>
      <c r="B39" s="6" t="s">
        <v>277</v>
      </c>
      <c r="C39" s="6" t="s">
        <v>217</v>
      </c>
      <c r="D39" s="7">
        <v>19</v>
      </c>
      <c r="E39" s="13">
        <v>832</v>
      </c>
      <c r="F39" s="13">
        <f t="shared" si="0"/>
        <v>15808</v>
      </c>
      <c r="G39">
        <v>2700</v>
      </c>
      <c r="H39" s="188">
        <f t="shared" si="1"/>
        <v>51300</v>
      </c>
    </row>
    <row r="40" spans="1:8" x14ac:dyDescent="0.25">
      <c r="A40" s="11" t="s">
        <v>278</v>
      </c>
      <c r="B40" s="6" t="s">
        <v>279</v>
      </c>
      <c r="C40" s="6" t="s">
        <v>217</v>
      </c>
      <c r="D40" s="7">
        <v>14</v>
      </c>
      <c r="E40" s="13">
        <v>832</v>
      </c>
      <c r="F40" s="13">
        <f t="shared" si="0"/>
        <v>11648</v>
      </c>
      <c r="G40">
        <v>2700</v>
      </c>
      <c r="H40" s="188">
        <f t="shared" si="1"/>
        <v>37800</v>
      </c>
    </row>
    <row r="41" spans="1:8" x14ac:dyDescent="0.25">
      <c r="A41" s="11" t="s">
        <v>280</v>
      </c>
      <c r="B41" s="6" t="s">
        <v>281</v>
      </c>
      <c r="C41" s="6" t="s">
        <v>217</v>
      </c>
      <c r="D41" s="7">
        <v>31</v>
      </c>
      <c r="E41" s="13">
        <v>832</v>
      </c>
      <c r="F41" s="13">
        <f t="shared" si="0"/>
        <v>25792</v>
      </c>
      <c r="G41">
        <v>2700</v>
      </c>
      <c r="H41" s="188">
        <f t="shared" si="1"/>
        <v>83700</v>
      </c>
    </row>
    <row r="42" spans="1:8" x14ac:dyDescent="0.25">
      <c r="A42" s="11" t="s">
        <v>282</v>
      </c>
      <c r="B42" s="6" t="s">
        <v>283</v>
      </c>
      <c r="C42" s="6" t="s">
        <v>217</v>
      </c>
      <c r="D42" s="7">
        <v>15</v>
      </c>
      <c r="E42" s="13">
        <v>832</v>
      </c>
      <c r="F42" s="13">
        <f t="shared" si="0"/>
        <v>12480</v>
      </c>
      <c r="G42">
        <v>2700</v>
      </c>
      <c r="H42" s="188">
        <f t="shared" si="1"/>
        <v>40500</v>
      </c>
    </row>
    <row r="43" spans="1:8" x14ac:dyDescent="0.25">
      <c r="A43" s="11" t="s">
        <v>284</v>
      </c>
      <c r="B43" s="6" t="s">
        <v>285</v>
      </c>
      <c r="C43" s="6" t="s">
        <v>217</v>
      </c>
      <c r="D43" s="7">
        <v>23</v>
      </c>
      <c r="E43" s="13">
        <v>832</v>
      </c>
      <c r="F43" s="13">
        <f t="shared" si="0"/>
        <v>19136</v>
      </c>
      <c r="G43">
        <v>2700</v>
      </c>
      <c r="H43" s="188">
        <f t="shared" si="1"/>
        <v>62100</v>
      </c>
    </row>
    <row r="44" spans="1:8" x14ac:dyDescent="0.25">
      <c r="A44" s="11" t="s">
        <v>286</v>
      </c>
      <c r="B44" s="6" t="s">
        <v>287</v>
      </c>
      <c r="C44" s="6" t="s">
        <v>217</v>
      </c>
      <c r="D44" s="7">
        <v>27</v>
      </c>
      <c r="E44" s="13">
        <v>832</v>
      </c>
      <c r="F44" s="13">
        <f t="shared" si="0"/>
        <v>22464</v>
      </c>
      <c r="G44">
        <v>2700</v>
      </c>
      <c r="H44" s="188">
        <f t="shared" si="1"/>
        <v>72900</v>
      </c>
    </row>
    <row r="45" spans="1:8" x14ac:dyDescent="0.25">
      <c r="A45" s="11" t="s">
        <v>288</v>
      </c>
      <c r="B45" s="6" t="s">
        <v>289</v>
      </c>
      <c r="C45" s="6" t="s">
        <v>217</v>
      </c>
      <c r="D45" s="7">
        <v>10</v>
      </c>
      <c r="E45" s="13">
        <v>1544</v>
      </c>
      <c r="F45" s="13">
        <f t="shared" si="0"/>
        <v>15440</v>
      </c>
      <c r="G45">
        <v>4900</v>
      </c>
      <c r="H45" s="188">
        <f t="shared" si="1"/>
        <v>49000</v>
      </c>
    </row>
    <row r="46" spans="1:8" x14ac:dyDescent="0.25">
      <c r="A46" s="11" t="s">
        <v>290</v>
      </c>
      <c r="B46" s="6" t="s">
        <v>291</v>
      </c>
      <c r="C46" s="6" t="s">
        <v>217</v>
      </c>
      <c r="D46" s="7">
        <v>10</v>
      </c>
      <c r="E46" s="13">
        <v>1544</v>
      </c>
      <c r="F46" s="13">
        <f t="shared" si="0"/>
        <v>15440</v>
      </c>
      <c r="G46">
        <v>4900</v>
      </c>
      <c r="H46" s="188">
        <f t="shared" si="1"/>
        <v>49000</v>
      </c>
    </row>
    <row r="47" spans="1:8" x14ac:dyDescent="0.25">
      <c r="A47" s="11" t="s">
        <v>292</v>
      </c>
      <c r="B47" s="6" t="s">
        <v>293</v>
      </c>
      <c r="C47" s="6" t="s">
        <v>217</v>
      </c>
      <c r="D47" s="7">
        <v>7</v>
      </c>
      <c r="E47" s="13">
        <v>1544</v>
      </c>
      <c r="F47" s="13">
        <f t="shared" si="0"/>
        <v>10808</v>
      </c>
      <c r="G47">
        <v>4900</v>
      </c>
      <c r="H47" s="188">
        <f t="shared" si="1"/>
        <v>34300</v>
      </c>
    </row>
    <row r="48" spans="1:8" x14ac:dyDescent="0.25">
      <c r="A48" s="11" t="s">
        <v>294</v>
      </c>
      <c r="B48" s="6" t="s">
        <v>295</v>
      </c>
      <c r="C48" s="6" t="s">
        <v>217</v>
      </c>
      <c r="D48" s="7">
        <v>10</v>
      </c>
      <c r="E48" s="13">
        <v>1544</v>
      </c>
      <c r="F48" s="13">
        <f t="shared" si="0"/>
        <v>15440</v>
      </c>
      <c r="G48">
        <v>4900</v>
      </c>
      <c r="H48" s="188">
        <f t="shared" si="1"/>
        <v>49000</v>
      </c>
    </row>
    <row r="49" spans="1:8" x14ac:dyDescent="0.25">
      <c r="A49" s="11" t="s">
        <v>296</v>
      </c>
      <c r="B49" s="6" t="s">
        <v>297</v>
      </c>
      <c r="C49" s="6" t="s">
        <v>217</v>
      </c>
      <c r="D49" s="7">
        <v>12</v>
      </c>
      <c r="E49" s="13">
        <v>1544</v>
      </c>
      <c r="F49" s="13">
        <f t="shared" si="0"/>
        <v>18528</v>
      </c>
      <c r="G49">
        <v>4900</v>
      </c>
      <c r="H49" s="188">
        <f t="shared" si="1"/>
        <v>58800</v>
      </c>
    </row>
    <row r="50" spans="1:8" x14ac:dyDescent="0.25">
      <c r="A50" s="11" t="s">
        <v>298</v>
      </c>
      <c r="B50" s="6" t="s">
        <v>299</v>
      </c>
      <c r="C50" s="6" t="s">
        <v>217</v>
      </c>
      <c r="D50" s="7">
        <v>8</v>
      </c>
      <c r="E50" s="13">
        <v>1544</v>
      </c>
      <c r="F50" s="13">
        <f t="shared" si="0"/>
        <v>12352</v>
      </c>
      <c r="G50">
        <v>4900</v>
      </c>
      <c r="H50" s="188">
        <f t="shared" si="1"/>
        <v>39200</v>
      </c>
    </row>
    <row r="51" spans="1:8" x14ac:dyDescent="0.25">
      <c r="A51" s="11" t="s">
        <v>300</v>
      </c>
      <c r="B51" s="6" t="s">
        <v>301</v>
      </c>
      <c r="C51" s="6" t="s">
        <v>217</v>
      </c>
      <c r="D51" s="7">
        <v>11</v>
      </c>
      <c r="E51" s="13">
        <v>1544</v>
      </c>
      <c r="F51" s="13">
        <f t="shared" si="0"/>
        <v>16984</v>
      </c>
      <c r="G51">
        <v>4900</v>
      </c>
      <c r="H51" s="188">
        <f t="shared" si="1"/>
        <v>53900</v>
      </c>
    </row>
    <row r="52" spans="1:8" x14ac:dyDescent="0.25">
      <c r="A52" s="11" t="s">
        <v>302</v>
      </c>
      <c r="B52" s="6" t="s">
        <v>303</v>
      </c>
      <c r="C52" s="6" t="s">
        <v>217</v>
      </c>
      <c r="D52" s="7">
        <v>4</v>
      </c>
      <c r="E52" s="13">
        <v>2977</v>
      </c>
      <c r="F52" s="13">
        <f t="shared" si="0"/>
        <v>11908</v>
      </c>
      <c r="G52">
        <v>5800</v>
      </c>
      <c r="H52" s="188">
        <f t="shared" si="1"/>
        <v>23200</v>
      </c>
    </row>
    <row r="53" spans="1:8" x14ac:dyDescent="0.25">
      <c r="A53" s="11" t="s">
        <v>304</v>
      </c>
      <c r="B53" s="6" t="s">
        <v>305</v>
      </c>
      <c r="C53" s="6" t="s">
        <v>217</v>
      </c>
      <c r="D53" s="7">
        <v>5</v>
      </c>
      <c r="E53" s="13">
        <v>2977</v>
      </c>
      <c r="F53" s="13">
        <f t="shared" si="0"/>
        <v>14885</v>
      </c>
      <c r="G53">
        <v>5800</v>
      </c>
      <c r="H53" s="188">
        <f t="shared" si="1"/>
        <v>29000</v>
      </c>
    </row>
    <row r="54" spans="1:8" x14ac:dyDescent="0.25">
      <c r="A54" s="11" t="s">
        <v>306</v>
      </c>
      <c r="B54" s="6" t="s">
        <v>307</v>
      </c>
      <c r="C54" s="6" t="s">
        <v>217</v>
      </c>
      <c r="D54" s="7">
        <v>3</v>
      </c>
      <c r="E54" s="13">
        <v>2977</v>
      </c>
      <c r="F54" s="13">
        <f t="shared" si="0"/>
        <v>8931</v>
      </c>
      <c r="G54">
        <v>5800</v>
      </c>
      <c r="H54" s="188">
        <f t="shared" si="1"/>
        <v>17400</v>
      </c>
    </row>
    <row r="55" spans="1:8" x14ac:dyDescent="0.25">
      <c r="A55" s="11" t="s">
        <v>308</v>
      </c>
      <c r="B55" s="6" t="s">
        <v>309</v>
      </c>
      <c r="C55" s="6" t="s">
        <v>217</v>
      </c>
      <c r="D55" s="7">
        <v>6</v>
      </c>
      <c r="E55" s="13">
        <v>2977</v>
      </c>
      <c r="F55" s="13">
        <f t="shared" si="0"/>
        <v>17862</v>
      </c>
      <c r="G55">
        <v>5800</v>
      </c>
      <c r="H55" s="188">
        <f t="shared" si="1"/>
        <v>34800</v>
      </c>
    </row>
    <row r="56" spans="1:8" x14ac:dyDescent="0.25">
      <c r="A56" s="11" t="s">
        <v>310</v>
      </c>
      <c r="B56" s="6" t="s">
        <v>311</v>
      </c>
      <c r="C56" s="6" t="s">
        <v>217</v>
      </c>
      <c r="D56" s="7">
        <v>6</v>
      </c>
      <c r="E56" s="13">
        <v>2977</v>
      </c>
      <c r="F56" s="13">
        <f t="shared" si="0"/>
        <v>17862</v>
      </c>
      <c r="G56">
        <v>5800</v>
      </c>
      <c r="H56" s="188">
        <f t="shared" si="1"/>
        <v>34800</v>
      </c>
    </row>
    <row r="57" spans="1:8" x14ac:dyDescent="0.25">
      <c r="A57" s="11" t="s">
        <v>312</v>
      </c>
      <c r="B57" s="6" t="s">
        <v>313</v>
      </c>
      <c r="C57" s="6" t="s">
        <v>217</v>
      </c>
      <c r="D57" s="7">
        <v>7</v>
      </c>
      <c r="E57" s="13">
        <v>2977</v>
      </c>
      <c r="F57" s="13">
        <f t="shared" si="0"/>
        <v>20839</v>
      </c>
      <c r="G57">
        <v>5800</v>
      </c>
      <c r="H57" s="188">
        <f t="shared" si="1"/>
        <v>40600</v>
      </c>
    </row>
    <row r="58" spans="1:8" x14ac:dyDescent="0.25">
      <c r="A58" s="11" t="s">
        <v>314</v>
      </c>
      <c r="B58" s="6" t="s">
        <v>315</v>
      </c>
      <c r="C58" s="6" t="s">
        <v>217</v>
      </c>
      <c r="D58" s="7">
        <v>8</v>
      </c>
      <c r="E58" s="13">
        <v>2977</v>
      </c>
      <c r="F58" s="13">
        <f t="shared" si="0"/>
        <v>23816</v>
      </c>
      <c r="G58">
        <v>5800</v>
      </c>
      <c r="H58" s="188">
        <f t="shared" si="1"/>
        <v>46400</v>
      </c>
    </row>
    <row r="59" spans="1:8" x14ac:dyDescent="0.25">
      <c r="A59" s="11" t="s">
        <v>316</v>
      </c>
      <c r="B59" s="6" t="s">
        <v>317</v>
      </c>
      <c r="C59" s="6" t="s">
        <v>217</v>
      </c>
      <c r="D59" s="7">
        <v>12</v>
      </c>
      <c r="E59" s="13">
        <v>2977</v>
      </c>
      <c r="F59" s="13">
        <f t="shared" si="0"/>
        <v>35724</v>
      </c>
      <c r="G59">
        <v>5800</v>
      </c>
      <c r="H59" s="188">
        <f t="shared" si="1"/>
        <v>69600</v>
      </c>
    </row>
    <row r="60" spans="1:8" x14ac:dyDescent="0.25">
      <c r="A60" s="11" t="s">
        <v>318</v>
      </c>
      <c r="B60" s="6" t="s">
        <v>319</v>
      </c>
      <c r="C60" s="6" t="s">
        <v>217</v>
      </c>
      <c r="D60" s="7">
        <v>2</v>
      </c>
      <c r="E60" s="13">
        <v>2977</v>
      </c>
      <c r="F60" s="13">
        <f t="shared" si="0"/>
        <v>5954</v>
      </c>
      <c r="G60">
        <v>5800</v>
      </c>
      <c r="H60" s="188">
        <f t="shared" si="1"/>
        <v>11600</v>
      </c>
    </row>
    <row r="61" spans="1:8" x14ac:dyDescent="0.25">
      <c r="A61" s="11" t="s">
        <v>320</v>
      </c>
      <c r="B61" s="6" t="s">
        <v>321</v>
      </c>
      <c r="C61" s="6" t="s">
        <v>217</v>
      </c>
      <c r="D61" s="7">
        <v>5</v>
      </c>
      <c r="E61" s="13">
        <v>2977</v>
      </c>
      <c r="F61" s="13">
        <f t="shared" si="0"/>
        <v>14885</v>
      </c>
      <c r="G61">
        <v>5800</v>
      </c>
      <c r="H61" s="188">
        <f t="shared" si="1"/>
        <v>29000</v>
      </c>
    </row>
    <row r="62" spans="1:8" x14ac:dyDescent="0.25">
      <c r="A62" s="11" t="s">
        <v>322</v>
      </c>
      <c r="B62" s="6" t="s">
        <v>323</v>
      </c>
      <c r="C62" s="6" t="s">
        <v>217</v>
      </c>
      <c r="D62" s="7">
        <v>4</v>
      </c>
      <c r="E62" s="13">
        <v>2977</v>
      </c>
      <c r="F62" s="13">
        <f t="shared" si="0"/>
        <v>11908</v>
      </c>
      <c r="G62">
        <v>5800</v>
      </c>
      <c r="H62" s="188">
        <f t="shared" si="1"/>
        <v>23200</v>
      </c>
    </row>
    <row r="63" spans="1:8" x14ac:dyDescent="0.25">
      <c r="A63" s="11" t="s">
        <v>324</v>
      </c>
      <c r="B63" s="6" t="s">
        <v>325</v>
      </c>
      <c r="C63" s="6" t="s">
        <v>217</v>
      </c>
      <c r="D63" s="7">
        <v>2</v>
      </c>
      <c r="E63" s="13">
        <v>2977</v>
      </c>
      <c r="F63" s="13">
        <f t="shared" si="0"/>
        <v>5954</v>
      </c>
      <c r="G63">
        <v>5800</v>
      </c>
      <c r="H63" s="188">
        <f t="shared" si="1"/>
        <v>11600</v>
      </c>
    </row>
    <row r="64" spans="1:8" x14ac:dyDescent="0.25">
      <c r="A64" s="11" t="s">
        <v>326</v>
      </c>
      <c r="B64" s="6" t="s">
        <v>327</v>
      </c>
      <c r="C64" s="6" t="s">
        <v>217</v>
      </c>
      <c r="D64" s="7">
        <v>1</v>
      </c>
      <c r="E64" s="13">
        <v>2977</v>
      </c>
      <c r="F64" s="13">
        <f t="shared" si="0"/>
        <v>2977</v>
      </c>
      <c r="G64">
        <v>5800</v>
      </c>
      <c r="H64" s="188">
        <f t="shared" si="1"/>
        <v>5800</v>
      </c>
    </row>
    <row r="65" spans="1:8" x14ac:dyDescent="0.25">
      <c r="A65" s="11" t="s">
        <v>328</v>
      </c>
      <c r="B65" s="6" t="s">
        <v>329</v>
      </c>
      <c r="C65" s="6" t="s">
        <v>217</v>
      </c>
      <c r="D65" s="7">
        <v>5</v>
      </c>
      <c r="E65" s="13">
        <v>2977</v>
      </c>
      <c r="F65" s="13">
        <f t="shared" si="0"/>
        <v>14885</v>
      </c>
      <c r="G65">
        <v>5800</v>
      </c>
      <c r="H65" s="188">
        <f t="shared" si="1"/>
        <v>29000</v>
      </c>
    </row>
    <row r="66" spans="1:8" x14ac:dyDescent="0.25">
      <c r="A66" s="11" t="s">
        <v>330</v>
      </c>
      <c r="B66" s="6" t="s">
        <v>331</v>
      </c>
      <c r="C66" s="6" t="s">
        <v>217</v>
      </c>
      <c r="D66" s="7">
        <v>2</v>
      </c>
      <c r="E66" s="13">
        <v>1277</v>
      </c>
      <c r="F66" s="13">
        <f t="shared" si="0"/>
        <v>2554</v>
      </c>
      <c r="G66">
        <v>3200</v>
      </c>
      <c r="H66" s="188">
        <f t="shared" si="1"/>
        <v>6400</v>
      </c>
    </row>
    <row r="67" spans="1:8" x14ac:dyDescent="0.25">
      <c r="A67" s="11" t="s">
        <v>332</v>
      </c>
      <c r="B67" s="6" t="s">
        <v>333</v>
      </c>
      <c r="C67" s="6" t="s">
        <v>217</v>
      </c>
      <c r="D67" s="7">
        <v>1</v>
      </c>
      <c r="E67" s="13">
        <v>1277</v>
      </c>
      <c r="F67" s="13">
        <f t="shared" si="0"/>
        <v>1277</v>
      </c>
      <c r="G67">
        <v>3200</v>
      </c>
      <c r="H67" s="188">
        <f t="shared" si="1"/>
        <v>3200</v>
      </c>
    </row>
    <row r="68" spans="1:8" x14ac:dyDescent="0.25">
      <c r="A68" s="11" t="s">
        <v>334</v>
      </c>
      <c r="B68" s="6" t="s">
        <v>335</v>
      </c>
      <c r="C68" s="6" t="s">
        <v>217</v>
      </c>
      <c r="D68" s="7">
        <v>1</v>
      </c>
      <c r="E68" s="13">
        <v>1277</v>
      </c>
      <c r="F68" s="13">
        <f t="shared" si="0"/>
        <v>1277</v>
      </c>
      <c r="G68">
        <v>3200</v>
      </c>
      <c r="H68" s="188">
        <f t="shared" si="1"/>
        <v>3200</v>
      </c>
    </row>
    <row r="69" spans="1:8" x14ac:dyDescent="0.25">
      <c r="A69" s="11" t="s">
        <v>336</v>
      </c>
      <c r="B69" s="6" t="s">
        <v>337</v>
      </c>
      <c r="C69" s="6" t="s">
        <v>217</v>
      </c>
      <c r="D69" s="7">
        <v>1</v>
      </c>
      <c r="E69" s="13">
        <v>1277</v>
      </c>
      <c r="F69" s="13">
        <f t="shared" si="0"/>
        <v>1277</v>
      </c>
      <c r="G69">
        <v>3200</v>
      </c>
      <c r="H69" s="188">
        <f t="shared" si="1"/>
        <v>3200</v>
      </c>
    </row>
    <row r="70" spans="1:8" x14ac:dyDescent="0.25">
      <c r="A70" s="11" t="s">
        <v>338</v>
      </c>
      <c r="B70" s="6" t="s">
        <v>339</v>
      </c>
      <c r="C70" s="6" t="s">
        <v>217</v>
      </c>
      <c r="D70" s="7">
        <v>5</v>
      </c>
      <c r="E70" s="13">
        <v>731.7</v>
      </c>
      <c r="F70" s="13">
        <f t="shared" si="0"/>
        <v>3658.5</v>
      </c>
      <c r="G70">
        <v>2000</v>
      </c>
      <c r="H70" s="188">
        <f t="shared" si="1"/>
        <v>10000</v>
      </c>
    </row>
    <row r="71" spans="1:8" x14ac:dyDescent="0.25">
      <c r="A71" s="11" t="s">
        <v>340</v>
      </c>
      <c r="B71" s="6" t="s">
        <v>341</v>
      </c>
      <c r="C71" s="6" t="s">
        <v>217</v>
      </c>
      <c r="D71" s="7">
        <v>6</v>
      </c>
      <c r="E71" s="13">
        <v>1597.7</v>
      </c>
      <c r="F71" s="13">
        <f t="shared" si="0"/>
        <v>9586.2000000000007</v>
      </c>
      <c r="G71">
        <v>3800</v>
      </c>
      <c r="H71" s="188">
        <f t="shared" si="1"/>
        <v>22800</v>
      </c>
    </row>
    <row r="72" spans="1:8" x14ac:dyDescent="0.25">
      <c r="A72" s="11" t="s">
        <v>342</v>
      </c>
      <c r="B72" s="6" t="s">
        <v>343</v>
      </c>
      <c r="C72" s="6" t="s">
        <v>217</v>
      </c>
      <c r="D72" s="7">
        <v>5</v>
      </c>
      <c r="E72" s="13">
        <v>2977</v>
      </c>
      <c r="F72" s="13">
        <f t="shared" si="0"/>
        <v>14885</v>
      </c>
      <c r="G72">
        <v>5800</v>
      </c>
      <c r="H72" s="188">
        <f t="shared" si="1"/>
        <v>29000</v>
      </c>
    </row>
    <row r="73" spans="1:8" x14ac:dyDescent="0.25">
      <c r="A73" s="11" t="s">
        <v>344</v>
      </c>
      <c r="B73" s="6" t="s">
        <v>345</v>
      </c>
      <c r="C73" s="6" t="s">
        <v>217</v>
      </c>
      <c r="D73" s="7">
        <v>9</v>
      </c>
      <c r="E73" s="13">
        <v>832</v>
      </c>
      <c r="F73" s="13">
        <f t="shared" si="0"/>
        <v>7488</v>
      </c>
      <c r="G73">
        <v>2700</v>
      </c>
      <c r="H73" s="188">
        <f t="shared" si="1"/>
        <v>24300</v>
      </c>
    </row>
    <row r="74" spans="1:8" x14ac:dyDescent="0.25">
      <c r="A74" s="11" t="s">
        <v>346</v>
      </c>
      <c r="B74" s="6" t="s">
        <v>347</v>
      </c>
      <c r="C74" s="6" t="s">
        <v>217</v>
      </c>
      <c r="D74" s="7">
        <v>4</v>
      </c>
      <c r="E74" s="13">
        <v>1544</v>
      </c>
      <c r="F74" s="13">
        <f t="shared" ref="F74:F80" si="2">D74*E74</f>
        <v>6176</v>
      </c>
      <c r="G74">
        <v>4900</v>
      </c>
      <c r="H74" s="188">
        <f t="shared" ref="H74:H137" si="3">G74*D74</f>
        <v>19600</v>
      </c>
    </row>
    <row r="75" spans="1:8" x14ac:dyDescent="0.25">
      <c r="A75" s="11" t="s">
        <v>348</v>
      </c>
      <c r="B75" s="6" t="s">
        <v>349</v>
      </c>
      <c r="C75" s="6" t="s">
        <v>217</v>
      </c>
      <c r="D75" s="7">
        <v>300</v>
      </c>
      <c r="E75" s="13">
        <v>731.7</v>
      </c>
      <c r="F75" s="13">
        <f t="shared" si="2"/>
        <v>219510</v>
      </c>
      <c r="G75">
        <v>2000</v>
      </c>
      <c r="H75" s="188">
        <f t="shared" si="3"/>
        <v>600000</v>
      </c>
    </row>
    <row r="76" spans="1:8" x14ac:dyDescent="0.25">
      <c r="A76" s="11" t="s">
        <v>350</v>
      </c>
      <c r="B76" s="6" t="s">
        <v>351</v>
      </c>
      <c r="C76" s="6" t="s">
        <v>217</v>
      </c>
      <c r="D76" s="7">
        <v>200</v>
      </c>
      <c r="E76" s="13">
        <v>731.7</v>
      </c>
      <c r="F76" s="13">
        <f t="shared" si="2"/>
        <v>146340</v>
      </c>
      <c r="G76">
        <v>2000</v>
      </c>
      <c r="H76" s="188">
        <f t="shared" si="3"/>
        <v>400000</v>
      </c>
    </row>
    <row r="77" spans="1:8" x14ac:dyDescent="0.25">
      <c r="A77" s="11" t="s">
        <v>352</v>
      </c>
      <c r="B77" s="6" t="s">
        <v>353</v>
      </c>
      <c r="C77" s="6" t="s">
        <v>217</v>
      </c>
      <c r="D77" s="7">
        <v>200</v>
      </c>
      <c r="E77" s="13">
        <v>731.7</v>
      </c>
      <c r="F77" s="13">
        <f t="shared" si="2"/>
        <v>146340</v>
      </c>
      <c r="G77">
        <v>2000</v>
      </c>
      <c r="H77" s="188">
        <f t="shared" si="3"/>
        <v>400000</v>
      </c>
    </row>
    <row r="78" spans="1:8" x14ac:dyDescent="0.25">
      <c r="A78" s="11" t="s">
        <v>354</v>
      </c>
      <c r="B78" s="6" t="s">
        <v>355</v>
      </c>
      <c r="C78" s="6" t="s">
        <v>217</v>
      </c>
      <c r="D78" s="7">
        <v>13</v>
      </c>
      <c r="E78" s="13">
        <v>832</v>
      </c>
      <c r="F78" s="13">
        <f t="shared" si="2"/>
        <v>10816</v>
      </c>
      <c r="G78">
        <v>2700</v>
      </c>
      <c r="H78" s="188">
        <f t="shared" si="3"/>
        <v>35100</v>
      </c>
    </row>
    <row r="79" spans="1:8" x14ac:dyDescent="0.25">
      <c r="A79" s="11" t="s">
        <v>356</v>
      </c>
      <c r="B79" s="6" t="s">
        <v>357</v>
      </c>
      <c r="C79" s="6" t="s">
        <v>217</v>
      </c>
      <c r="D79" s="7">
        <v>2</v>
      </c>
      <c r="E79" s="13">
        <v>1277</v>
      </c>
      <c r="F79" s="13">
        <f t="shared" si="2"/>
        <v>2554</v>
      </c>
      <c r="G79">
        <v>3200</v>
      </c>
      <c r="H79" s="188">
        <f t="shared" si="3"/>
        <v>6400</v>
      </c>
    </row>
    <row r="80" spans="1:8" x14ac:dyDescent="0.25">
      <c r="A80" s="11" t="s">
        <v>358</v>
      </c>
      <c r="B80" s="6" t="s">
        <v>359</v>
      </c>
      <c r="C80" s="6" t="s">
        <v>217</v>
      </c>
      <c r="D80" s="7">
        <v>1</v>
      </c>
      <c r="E80" s="13">
        <v>1277</v>
      </c>
      <c r="F80" s="13">
        <f t="shared" si="2"/>
        <v>1277</v>
      </c>
      <c r="G80">
        <v>3200</v>
      </c>
      <c r="H80" s="188">
        <f t="shared" si="3"/>
        <v>3200</v>
      </c>
    </row>
    <row r="81" spans="1:8" x14ac:dyDescent="0.25">
      <c r="A81" s="89">
        <v>45505</v>
      </c>
      <c r="B81" s="91"/>
      <c r="C81" s="91"/>
      <c r="D81" s="91"/>
      <c r="E81" s="92"/>
      <c r="F81" s="92"/>
      <c r="H81" s="188">
        <f t="shared" si="3"/>
        <v>0</v>
      </c>
    </row>
    <row r="82" spans="1:8" x14ac:dyDescent="0.25">
      <c r="A82" s="6" t="s">
        <v>360</v>
      </c>
      <c r="B82" s="6" t="s">
        <v>361</v>
      </c>
      <c r="C82" s="6" t="s">
        <v>217</v>
      </c>
      <c r="D82" s="7">
        <v>1</v>
      </c>
      <c r="E82" s="13">
        <v>731</v>
      </c>
      <c r="F82" s="13">
        <f>D82*E82</f>
        <v>731</v>
      </c>
      <c r="G82">
        <v>2000</v>
      </c>
      <c r="H82" s="188">
        <f t="shared" si="3"/>
        <v>2000</v>
      </c>
    </row>
    <row r="83" spans="1:8" x14ac:dyDescent="0.25">
      <c r="A83" s="6" t="s">
        <v>215</v>
      </c>
      <c r="B83" s="6" t="s">
        <v>216</v>
      </c>
      <c r="C83" s="6" t="s">
        <v>217</v>
      </c>
      <c r="D83" s="7">
        <v>37</v>
      </c>
      <c r="E83" s="13">
        <v>731</v>
      </c>
      <c r="F83" s="13">
        <f t="shared" ref="F83:F146" si="4">D83*E83</f>
        <v>27047</v>
      </c>
      <c r="G83">
        <v>2000</v>
      </c>
      <c r="H83" s="188">
        <f t="shared" si="3"/>
        <v>74000</v>
      </c>
    </row>
    <row r="84" spans="1:8" x14ac:dyDescent="0.25">
      <c r="A84" s="6" t="s">
        <v>218</v>
      </c>
      <c r="B84" s="6" t="s">
        <v>219</v>
      </c>
      <c r="C84" s="6" t="s">
        <v>217</v>
      </c>
      <c r="D84" s="7">
        <v>40</v>
      </c>
      <c r="E84" s="13">
        <v>731</v>
      </c>
      <c r="F84" s="13">
        <f t="shared" si="4"/>
        <v>29240</v>
      </c>
      <c r="G84">
        <v>2000</v>
      </c>
      <c r="H84" s="188">
        <f t="shared" si="3"/>
        <v>80000</v>
      </c>
    </row>
    <row r="85" spans="1:8" x14ac:dyDescent="0.25">
      <c r="A85" s="6" t="s">
        <v>220</v>
      </c>
      <c r="B85" s="6" t="s">
        <v>221</v>
      </c>
      <c r="C85" s="6" t="s">
        <v>217</v>
      </c>
      <c r="D85" s="7">
        <v>9</v>
      </c>
      <c r="E85" s="13">
        <v>731</v>
      </c>
      <c r="F85" s="13">
        <f t="shared" si="4"/>
        <v>6579</v>
      </c>
      <c r="G85">
        <v>2000</v>
      </c>
      <c r="H85" s="188">
        <f t="shared" si="3"/>
        <v>18000</v>
      </c>
    </row>
    <row r="86" spans="1:8" x14ac:dyDescent="0.25">
      <c r="A86" s="6" t="s">
        <v>222</v>
      </c>
      <c r="B86" s="6" t="s">
        <v>223</v>
      </c>
      <c r="C86" s="6" t="s">
        <v>217</v>
      </c>
      <c r="D86" s="7">
        <v>27</v>
      </c>
      <c r="E86" s="13">
        <v>731</v>
      </c>
      <c r="F86" s="13">
        <f t="shared" si="4"/>
        <v>19737</v>
      </c>
      <c r="G86">
        <v>2000</v>
      </c>
      <c r="H86" s="188">
        <f t="shared" si="3"/>
        <v>54000</v>
      </c>
    </row>
    <row r="87" spans="1:8" x14ac:dyDescent="0.25">
      <c r="A87" s="6" t="s">
        <v>224</v>
      </c>
      <c r="B87" s="6" t="s">
        <v>225</v>
      </c>
      <c r="C87" s="6" t="s">
        <v>217</v>
      </c>
      <c r="D87" s="7">
        <v>27</v>
      </c>
      <c r="E87" s="13">
        <v>731</v>
      </c>
      <c r="F87" s="13">
        <f t="shared" si="4"/>
        <v>19737</v>
      </c>
      <c r="G87">
        <v>2000</v>
      </c>
      <c r="H87" s="188">
        <f t="shared" si="3"/>
        <v>54000</v>
      </c>
    </row>
    <row r="88" spans="1:8" x14ac:dyDescent="0.25">
      <c r="A88" s="6" t="s">
        <v>226</v>
      </c>
      <c r="B88" s="6" t="s">
        <v>227</v>
      </c>
      <c r="C88" s="6" t="s">
        <v>217</v>
      </c>
      <c r="D88" s="7">
        <v>27</v>
      </c>
      <c r="E88" s="13">
        <v>731</v>
      </c>
      <c r="F88" s="13">
        <f t="shared" si="4"/>
        <v>19737</v>
      </c>
      <c r="G88">
        <v>2000</v>
      </c>
      <c r="H88" s="188">
        <f t="shared" si="3"/>
        <v>54000</v>
      </c>
    </row>
    <row r="89" spans="1:8" x14ac:dyDescent="0.25">
      <c r="A89" s="6" t="s">
        <v>228</v>
      </c>
      <c r="B89" s="6" t="s">
        <v>229</v>
      </c>
      <c r="C89" s="6" t="s">
        <v>217</v>
      </c>
      <c r="D89" s="7">
        <v>38</v>
      </c>
      <c r="E89" s="13">
        <v>731</v>
      </c>
      <c r="F89" s="13">
        <f t="shared" si="4"/>
        <v>27778</v>
      </c>
      <c r="G89">
        <v>2000</v>
      </c>
      <c r="H89" s="188">
        <f t="shared" si="3"/>
        <v>76000</v>
      </c>
    </row>
    <row r="90" spans="1:8" x14ac:dyDescent="0.25">
      <c r="A90" s="6" t="s">
        <v>230</v>
      </c>
      <c r="B90" s="6" t="s">
        <v>231</v>
      </c>
      <c r="C90" s="6" t="s">
        <v>217</v>
      </c>
      <c r="D90" s="7">
        <v>21</v>
      </c>
      <c r="E90" s="13">
        <v>731</v>
      </c>
      <c r="F90" s="13">
        <f t="shared" si="4"/>
        <v>15351</v>
      </c>
      <c r="G90">
        <v>2000</v>
      </c>
      <c r="H90" s="188">
        <f t="shared" si="3"/>
        <v>42000</v>
      </c>
    </row>
    <row r="91" spans="1:8" x14ac:dyDescent="0.25">
      <c r="A91" s="6" t="s">
        <v>232</v>
      </c>
      <c r="B91" s="6" t="s">
        <v>233</v>
      </c>
      <c r="C91" s="6" t="s">
        <v>217</v>
      </c>
      <c r="D91" s="7">
        <v>30</v>
      </c>
      <c r="E91" s="13">
        <v>731</v>
      </c>
      <c r="F91" s="13">
        <f t="shared" si="4"/>
        <v>21930</v>
      </c>
      <c r="G91">
        <v>2000</v>
      </c>
      <c r="H91" s="188">
        <f t="shared" si="3"/>
        <v>60000</v>
      </c>
    </row>
    <row r="92" spans="1:8" x14ac:dyDescent="0.25">
      <c r="A92" s="6" t="s">
        <v>234</v>
      </c>
      <c r="B92" s="6" t="s">
        <v>235</v>
      </c>
      <c r="C92" s="6" t="s">
        <v>217</v>
      </c>
      <c r="D92" s="7">
        <v>28</v>
      </c>
      <c r="E92" s="13">
        <v>731</v>
      </c>
      <c r="F92" s="13">
        <f t="shared" si="4"/>
        <v>20468</v>
      </c>
      <c r="G92">
        <v>2000</v>
      </c>
      <c r="H92" s="188">
        <f t="shared" si="3"/>
        <v>56000</v>
      </c>
    </row>
    <row r="93" spans="1:8" x14ac:dyDescent="0.25">
      <c r="A93" s="6" t="s">
        <v>236</v>
      </c>
      <c r="B93" s="6" t="s">
        <v>237</v>
      </c>
      <c r="C93" s="6" t="s">
        <v>217</v>
      </c>
      <c r="D93" s="7">
        <v>18</v>
      </c>
      <c r="E93" s="13">
        <v>731</v>
      </c>
      <c r="F93" s="13">
        <f t="shared" si="4"/>
        <v>13158</v>
      </c>
      <c r="G93">
        <v>2000</v>
      </c>
      <c r="H93" s="188">
        <f t="shared" si="3"/>
        <v>36000</v>
      </c>
    </row>
    <row r="94" spans="1:8" x14ac:dyDescent="0.25">
      <c r="A94" s="6" t="s">
        <v>238</v>
      </c>
      <c r="B94" s="6" t="s">
        <v>239</v>
      </c>
      <c r="C94" s="6" t="s">
        <v>217</v>
      </c>
      <c r="D94" s="7">
        <v>15</v>
      </c>
      <c r="E94" s="13">
        <v>731</v>
      </c>
      <c r="F94" s="13">
        <f t="shared" si="4"/>
        <v>10965</v>
      </c>
      <c r="G94">
        <v>2000</v>
      </c>
      <c r="H94" s="188">
        <f t="shared" si="3"/>
        <v>30000</v>
      </c>
    </row>
    <row r="95" spans="1:8" x14ac:dyDescent="0.25">
      <c r="A95" s="6" t="s">
        <v>240</v>
      </c>
      <c r="B95" s="6" t="s">
        <v>241</v>
      </c>
      <c r="C95" s="6" t="s">
        <v>217</v>
      </c>
      <c r="D95" s="7">
        <v>9</v>
      </c>
      <c r="E95" s="13">
        <v>731</v>
      </c>
      <c r="F95" s="13">
        <f t="shared" si="4"/>
        <v>6579</v>
      </c>
      <c r="G95">
        <v>2000</v>
      </c>
      <c r="H95" s="188">
        <f t="shared" si="3"/>
        <v>18000</v>
      </c>
    </row>
    <row r="96" spans="1:8" x14ac:dyDescent="0.25">
      <c r="A96" s="6" t="s">
        <v>242</v>
      </c>
      <c r="B96" s="6" t="s">
        <v>243</v>
      </c>
      <c r="C96" s="6" t="s">
        <v>217</v>
      </c>
      <c r="D96" s="7">
        <v>36</v>
      </c>
      <c r="E96" s="13">
        <v>731</v>
      </c>
      <c r="F96" s="13">
        <f t="shared" si="4"/>
        <v>26316</v>
      </c>
      <c r="G96">
        <v>2000</v>
      </c>
      <c r="H96" s="188">
        <f t="shared" si="3"/>
        <v>72000</v>
      </c>
    </row>
    <row r="97" spans="1:8" x14ac:dyDescent="0.25">
      <c r="A97" s="6" t="s">
        <v>244</v>
      </c>
      <c r="B97" s="6" t="s">
        <v>245</v>
      </c>
      <c r="C97" s="6" t="s">
        <v>217</v>
      </c>
      <c r="D97" s="7">
        <v>10</v>
      </c>
      <c r="E97" s="13">
        <v>1597.7</v>
      </c>
      <c r="F97" s="13">
        <f t="shared" si="4"/>
        <v>15977</v>
      </c>
      <c r="G97">
        <v>3800</v>
      </c>
      <c r="H97" s="188">
        <f t="shared" si="3"/>
        <v>38000</v>
      </c>
    </row>
    <row r="98" spans="1:8" x14ac:dyDescent="0.25">
      <c r="A98" s="6" t="s">
        <v>246</v>
      </c>
      <c r="B98" s="6" t="s">
        <v>247</v>
      </c>
      <c r="C98" s="6" t="s">
        <v>217</v>
      </c>
      <c r="D98" s="7">
        <v>8</v>
      </c>
      <c r="E98" s="13">
        <v>1597.7</v>
      </c>
      <c r="F98" s="13">
        <f t="shared" si="4"/>
        <v>12781.6</v>
      </c>
      <c r="G98">
        <v>3800</v>
      </c>
      <c r="H98" s="188">
        <f t="shared" si="3"/>
        <v>30400</v>
      </c>
    </row>
    <row r="99" spans="1:8" x14ac:dyDescent="0.25">
      <c r="A99" s="6" t="s">
        <v>248</v>
      </c>
      <c r="B99" s="6" t="s">
        <v>249</v>
      </c>
      <c r="C99" s="6" t="s">
        <v>217</v>
      </c>
      <c r="D99" s="7">
        <v>8</v>
      </c>
      <c r="E99" s="13">
        <v>1597.7</v>
      </c>
      <c r="F99" s="13">
        <f t="shared" si="4"/>
        <v>12781.6</v>
      </c>
      <c r="G99">
        <v>3800</v>
      </c>
      <c r="H99" s="188">
        <f t="shared" si="3"/>
        <v>30400</v>
      </c>
    </row>
    <row r="100" spans="1:8" x14ac:dyDescent="0.25">
      <c r="A100" s="6" t="s">
        <v>250</v>
      </c>
      <c r="B100" s="6" t="s">
        <v>251</v>
      </c>
      <c r="C100" s="6" t="s">
        <v>217</v>
      </c>
      <c r="D100" s="7">
        <v>8</v>
      </c>
      <c r="E100" s="13">
        <v>1597.7</v>
      </c>
      <c r="F100" s="13">
        <f t="shared" si="4"/>
        <v>12781.6</v>
      </c>
      <c r="G100">
        <v>3800</v>
      </c>
      <c r="H100" s="188">
        <f t="shared" si="3"/>
        <v>30400</v>
      </c>
    </row>
    <row r="101" spans="1:8" x14ac:dyDescent="0.25">
      <c r="A101" s="6" t="s">
        <v>252</v>
      </c>
      <c r="B101" s="6" t="s">
        <v>253</v>
      </c>
      <c r="C101" s="6" t="s">
        <v>217</v>
      </c>
      <c r="D101" s="7">
        <v>17</v>
      </c>
      <c r="E101" s="13">
        <v>1597.7</v>
      </c>
      <c r="F101" s="13">
        <f t="shared" si="4"/>
        <v>27160.9</v>
      </c>
      <c r="G101">
        <v>3800</v>
      </c>
      <c r="H101" s="188">
        <f t="shared" si="3"/>
        <v>64600</v>
      </c>
    </row>
    <row r="102" spans="1:8" x14ac:dyDescent="0.25">
      <c r="A102" s="6" t="s">
        <v>254</v>
      </c>
      <c r="B102" s="6" t="s">
        <v>255</v>
      </c>
      <c r="C102" s="6" t="s">
        <v>217</v>
      </c>
      <c r="D102" s="7">
        <v>11</v>
      </c>
      <c r="E102" s="13">
        <v>1597.7</v>
      </c>
      <c r="F102" s="13">
        <f t="shared" si="4"/>
        <v>17574.7</v>
      </c>
      <c r="G102">
        <v>3800</v>
      </c>
      <c r="H102" s="188">
        <f t="shared" si="3"/>
        <v>41800</v>
      </c>
    </row>
    <row r="103" spans="1:8" x14ac:dyDescent="0.25">
      <c r="A103" s="6" t="s">
        <v>256</v>
      </c>
      <c r="B103" s="6" t="s">
        <v>257</v>
      </c>
      <c r="C103" s="6" t="s">
        <v>217</v>
      </c>
      <c r="D103" s="7">
        <v>9</v>
      </c>
      <c r="E103" s="13">
        <v>1597.7</v>
      </c>
      <c r="F103" s="13">
        <f t="shared" si="4"/>
        <v>14379.300000000001</v>
      </c>
      <c r="G103">
        <v>3800</v>
      </c>
      <c r="H103" s="188">
        <f t="shared" si="3"/>
        <v>34200</v>
      </c>
    </row>
    <row r="104" spans="1:8" x14ac:dyDescent="0.25">
      <c r="A104" s="6" t="s">
        <v>258</v>
      </c>
      <c r="B104" s="6" t="s">
        <v>259</v>
      </c>
      <c r="C104" s="6" t="s">
        <v>217</v>
      </c>
      <c r="D104" s="7">
        <v>10</v>
      </c>
      <c r="E104" s="13">
        <v>1597.7</v>
      </c>
      <c r="F104" s="13">
        <f t="shared" si="4"/>
        <v>15977</v>
      </c>
      <c r="G104">
        <v>3800</v>
      </c>
      <c r="H104" s="188">
        <f t="shared" si="3"/>
        <v>38000</v>
      </c>
    </row>
    <row r="105" spans="1:8" x14ac:dyDescent="0.25">
      <c r="A105" s="6" t="s">
        <v>260</v>
      </c>
      <c r="B105" s="6" t="s">
        <v>261</v>
      </c>
      <c r="C105" s="6" t="s">
        <v>217</v>
      </c>
      <c r="D105" s="7">
        <v>12</v>
      </c>
      <c r="E105" s="13">
        <v>1597.7</v>
      </c>
      <c r="F105" s="13">
        <f t="shared" si="4"/>
        <v>19172.400000000001</v>
      </c>
      <c r="G105">
        <v>3800</v>
      </c>
      <c r="H105" s="188">
        <f t="shared" si="3"/>
        <v>45600</v>
      </c>
    </row>
    <row r="106" spans="1:8" x14ac:dyDescent="0.25">
      <c r="A106" s="6" t="s">
        <v>262</v>
      </c>
      <c r="B106" s="6" t="s">
        <v>263</v>
      </c>
      <c r="C106" s="6" t="s">
        <v>217</v>
      </c>
      <c r="D106" s="7">
        <v>15</v>
      </c>
      <c r="E106" s="13">
        <v>1597.7</v>
      </c>
      <c r="F106" s="13">
        <f t="shared" si="4"/>
        <v>23965.5</v>
      </c>
      <c r="G106">
        <v>3800</v>
      </c>
      <c r="H106" s="188">
        <f t="shared" si="3"/>
        <v>57000</v>
      </c>
    </row>
    <row r="107" spans="1:8" x14ac:dyDescent="0.25">
      <c r="A107" s="6" t="s">
        <v>264</v>
      </c>
      <c r="B107" s="6" t="s">
        <v>265</v>
      </c>
      <c r="C107" s="6" t="s">
        <v>217</v>
      </c>
      <c r="D107" s="7">
        <v>16</v>
      </c>
      <c r="E107" s="13">
        <v>1597.7</v>
      </c>
      <c r="F107" s="13">
        <f t="shared" si="4"/>
        <v>25563.200000000001</v>
      </c>
      <c r="G107">
        <v>3800</v>
      </c>
      <c r="H107" s="188">
        <f t="shared" si="3"/>
        <v>60800</v>
      </c>
    </row>
    <row r="108" spans="1:8" x14ac:dyDescent="0.25">
      <c r="A108" s="6" t="s">
        <v>266</v>
      </c>
      <c r="B108" s="6" t="s">
        <v>267</v>
      </c>
      <c r="C108" s="6" t="s">
        <v>217</v>
      </c>
      <c r="D108" s="7">
        <v>7</v>
      </c>
      <c r="E108" s="13">
        <v>1597.7</v>
      </c>
      <c r="F108" s="13">
        <f t="shared" si="4"/>
        <v>11183.9</v>
      </c>
      <c r="G108">
        <v>3800</v>
      </c>
      <c r="H108" s="188">
        <f t="shared" si="3"/>
        <v>26600</v>
      </c>
    </row>
    <row r="109" spans="1:8" x14ac:dyDescent="0.25">
      <c r="A109" s="6" t="s">
        <v>268</v>
      </c>
      <c r="B109" s="6" t="s">
        <v>269</v>
      </c>
      <c r="C109" s="6" t="s">
        <v>217</v>
      </c>
      <c r="D109" s="7">
        <v>5</v>
      </c>
      <c r="E109" s="13">
        <v>1597.7</v>
      </c>
      <c r="F109" s="13">
        <f t="shared" si="4"/>
        <v>7988.5</v>
      </c>
      <c r="G109">
        <v>3800</v>
      </c>
      <c r="H109" s="188">
        <f t="shared" si="3"/>
        <v>19000</v>
      </c>
    </row>
    <row r="110" spans="1:8" x14ac:dyDescent="0.25">
      <c r="A110" s="6" t="s">
        <v>270</v>
      </c>
      <c r="B110" s="6" t="s">
        <v>271</v>
      </c>
      <c r="C110" s="6" t="s">
        <v>217</v>
      </c>
      <c r="D110" s="7">
        <v>13</v>
      </c>
      <c r="E110" s="13">
        <v>1597.7</v>
      </c>
      <c r="F110" s="13">
        <f t="shared" si="4"/>
        <v>20770.100000000002</v>
      </c>
      <c r="G110">
        <v>3800</v>
      </c>
      <c r="H110" s="188">
        <f t="shared" si="3"/>
        <v>49400</v>
      </c>
    </row>
    <row r="111" spans="1:8" x14ac:dyDescent="0.25">
      <c r="A111" s="6" t="s">
        <v>272</v>
      </c>
      <c r="B111" s="6" t="s">
        <v>273</v>
      </c>
      <c r="C111" s="6" t="s">
        <v>217</v>
      </c>
      <c r="D111" s="7">
        <v>17</v>
      </c>
      <c r="E111" s="13">
        <v>832</v>
      </c>
      <c r="F111" s="13">
        <f t="shared" si="4"/>
        <v>14144</v>
      </c>
      <c r="G111">
        <v>2700</v>
      </c>
      <c r="H111" s="188">
        <f t="shared" si="3"/>
        <v>45900</v>
      </c>
    </row>
    <row r="112" spans="1:8" x14ac:dyDescent="0.25">
      <c r="A112" s="6" t="s">
        <v>274</v>
      </c>
      <c r="B112" s="6" t="s">
        <v>275</v>
      </c>
      <c r="C112" s="6" t="s">
        <v>217</v>
      </c>
      <c r="D112" s="7">
        <v>29</v>
      </c>
      <c r="E112" s="13">
        <v>832</v>
      </c>
      <c r="F112" s="13">
        <f t="shared" si="4"/>
        <v>24128</v>
      </c>
      <c r="G112">
        <v>2700</v>
      </c>
      <c r="H112" s="188">
        <f t="shared" si="3"/>
        <v>78300</v>
      </c>
    </row>
    <row r="113" spans="1:8" x14ac:dyDescent="0.25">
      <c r="A113" s="6" t="s">
        <v>276</v>
      </c>
      <c r="B113" s="6" t="s">
        <v>277</v>
      </c>
      <c r="C113" s="6" t="s">
        <v>217</v>
      </c>
      <c r="D113" s="7">
        <v>40</v>
      </c>
      <c r="E113" s="13">
        <v>832</v>
      </c>
      <c r="F113" s="13">
        <f t="shared" si="4"/>
        <v>33280</v>
      </c>
      <c r="G113">
        <v>2700</v>
      </c>
      <c r="H113" s="188">
        <f t="shared" si="3"/>
        <v>108000</v>
      </c>
    </row>
    <row r="114" spans="1:8" x14ac:dyDescent="0.25">
      <c r="A114" s="6" t="s">
        <v>278</v>
      </c>
      <c r="B114" s="6" t="s">
        <v>279</v>
      </c>
      <c r="C114" s="6" t="s">
        <v>217</v>
      </c>
      <c r="D114" s="7">
        <v>16</v>
      </c>
      <c r="E114" s="13">
        <v>832</v>
      </c>
      <c r="F114" s="13">
        <f t="shared" si="4"/>
        <v>13312</v>
      </c>
      <c r="G114">
        <v>2700</v>
      </c>
      <c r="H114" s="188">
        <f t="shared" si="3"/>
        <v>43200</v>
      </c>
    </row>
    <row r="115" spans="1:8" x14ac:dyDescent="0.25">
      <c r="A115" s="6" t="s">
        <v>280</v>
      </c>
      <c r="B115" s="6" t="s">
        <v>281</v>
      </c>
      <c r="C115" s="6" t="s">
        <v>217</v>
      </c>
      <c r="D115" s="7">
        <v>29</v>
      </c>
      <c r="E115" s="13">
        <v>832</v>
      </c>
      <c r="F115" s="13">
        <f t="shared" si="4"/>
        <v>24128</v>
      </c>
      <c r="G115">
        <v>2700</v>
      </c>
      <c r="H115" s="188">
        <f t="shared" si="3"/>
        <v>78300</v>
      </c>
    </row>
    <row r="116" spans="1:8" x14ac:dyDescent="0.25">
      <c r="A116" s="6" t="s">
        <v>282</v>
      </c>
      <c r="B116" s="6" t="s">
        <v>283</v>
      </c>
      <c r="C116" s="6" t="s">
        <v>217</v>
      </c>
      <c r="D116" s="7">
        <v>19</v>
      </c>
      <c r="E116" s="13">
        <v>832</v>
      </c>
      <c r="F116" s="13">
        <f t="shared" si="4"/>
        <v>15808</v>
      </c>
      <c r="G116">
        <v>2700</v>
      </c>
      <c r="H116" s="188">
        <f t="shared" si="3"/>
        <v>51300</v>
      </c>
    </row>
    <row r="117" spans="1:8" x14ac:dyDescent="0.25">
      <c r="A117" s="6" t="s">
        <v>284</v>
      </c>
      <c r="B117" s="6" t="s">
        <v>285</v>
      </c>
      <c r="C117" s="6" t="s">
        <v>217</v>
      </c>
      <c r="D117" s="7">
        <v>35</v>
      </c>
      <c r="E117" s="13">
        <v>832</v>
      </c>
      <c r="F117" s="13">
        <f t="shared" si="4"/>
        <v>29120</v>
      </c>
      <c r="G117">
        <v>2700</v>
      </c>
      <c r="H117" s="188">
        <f t="shared" si="3"/>
        <v>94500</v>
      </c>
    </row>
    <row r="118" spans="1:8" x14ac:dyDescent="0.25">
      <c r="A118" s="6" t="s">
        <v>286</v>
      </c>
      <c r="B118" s="6" t="s">
        <v>287</v>
      </c>
      <c r="C118" s="6" t="s">
        <v>217</v>
      </c>
      <c r="D118" s="7">
        <v>33</v>
      </c>
      <c r="E118" s="13">
        <v>832</v>
      </c>
      <c r="F118" s="13">
        <f t="shared" si="4"/>
        <v>27456</v>
      </c>
      <c r="G118">
        <v>2700</v>
      </c>
      <c r="H118" s="188">
        <f t="shared" si="3"/>
        <v>89100</v>
      </c>
    </row>
    <row r="119" spans="1:8" x14ac:dyDescent="0.25">
      <c r="A119" s="6" t="s">
        <v>288</v>
      </c>
      <c r="B119" s="6" t="s">
        <v>289</v>
      </c>
      <c r="C119" s="6" t="s">
        <v>217</v>
      </c>
      <c r="D119" s="7">
        <v>7</v>
      </c>
      <c r="E119" s="13">
        <v>1544</v>
      </c>
      <c r="F119" s="13">
        <f t="shared" si="4"/>
        <v>10808</v>
      </c>
      <c r="G119">
        <v>4900</v>
      </c>
      <c r="H119" s="188">
        <f t="shared" si="3"/>
        <v>34300</v>
      </c>
    </row>
    <row r="120" spans="1:8" x14ac:dyDescent="0.25">
      <c r="A120" s="6" t="s">
        <v>290</v>
      </c>
      <c r="B120" s="6" t="s">
        <v>291</v>
      </c>
      <c r="C120" s="6" t="s">
        <v>217</v>
      </c>
      <c r="D120" s="7">
        <v>13</v>
      </c>
      <c r="E120" s="13">
        <v>1544</v>
      </c>
      <c r="F120" s="13">
        <f t="shared" si="4"/>
        <v>20072</v>
      </c>
      <c r="G120">
        <v>4900</v>
      </c>
      <c r="H120" s="188">
        <f t="shared" si="3"/>
        <v>63700</v>
      </c>
    </row>
    <row r="121" spans="1:8" x14ac:dyDescent="0.25">
      <c r="A121" s="6" t="s">
        <v>292</v>
      </c>
      <c r="B121" s="6" t="s">
        <v>293</v>
      </c>
      <c r="C121" s="6" t="s">
        <v>217</v>
      </c>
      <c r="D121" s="7">
        <v>7</v>
      </c>
      <c r="E121" s="13">
        <v>1544</v>
      </c>
      <c r="F121" s="13">
        <f t="shared" si="4"/>
        <v>10808</v>
      </c>
      <c r="G121">
        <v>4900</v>
      </c>
      <c r="H121" s="188">
        <f t="shared" si="3"/>
        <v>34300</v>
      </c>
    </row>
    <row r="122" spans="1:8" x14ac:dyDescent="0.25">
      <c r="A122" s="6" t="s">
        <v>294</v>
      </c>
      <c r="B122" s="6" t="s">
        <v>295</v>
      </c>
      <c r="C122" s="6" t="s">
        <v>217</v>
      </c>
      <c r="D122" s="7">
        <v>14</v>
      </c>
      <c r="E122" s="13">
        <v>1544</v>
      </c>
      <c r="F122" s="13">
        <f t="shared" si="4"/>
        <v>21616</v>
      </c>
      <c r="G122">
        <v>4900</v>
      </c>
      <c r="H122" s="188">
        <f t="shared" si="3"/>
        <v>68600</v>
      </c>
    </row>
    <row r="123" spans="1:8" x14ac:dyDescent="0.25">
      <c r="A123" s="6" t="s">
        <v>296</v>
      </c>
      <c r="B123" s="6" t="s">
        <v>297</v>
      </c>
      <c r="C123" s="6" t="s">
        <v>217</v>
      </c>
      <c r="D123" s="7">
        <v>6</v>
      </c>
      <c r="E123" s="13">
        <v>1544</v>
      </c>
      <c r="F123" s="13">
        <f t="shared" si="4"/>
        <v>9264</v>
      </c>
      <c r="G123">
        <v>4900</v>
      </c>
      <c r="H123" s="188">
        <f t="shared" si="3"/>
        <v>29400</v>
      </c>
    </row>
    <row r="124" spans="1:8" x14ac:dyDescent="0.25">
      <c r="A124" s="6" t="s">
        <v>298</v>
      </c>
      <c r="B124" s="6" t="s">
        <v>299</v>
      </c>
      <c r="C124" s="6" t="s">
        <v>217</v>
      </c>
      <c r="D124" s="7">
        <v>9</v>
      </c>
      <c r="E124" s="13">
        <v>1544</v>
      </c>
      <c r="F124" s="13">
        <f t="shared" si="4"/>
        <v>13896</v>
      </c>
      <c r="G124">
        <v>4900</v>
      </c>
      <c r="H124" s="188">
        <f t="shared" si="3"/>
        <v>44100</v>
      </c>
    </row>
    <row r="125" spans="1:8" x14ac:dyDescent="0.25">
      <c r="A125" s="6" t="s">
        <v>300</v>
      </c>
      <c r="B125" s="6" t="s">
        <v>301</v>
      </c>
      <c r="C125" s="6" t="s">
        <v>217</v>
      </c>
      <c r="D125" s="7">
        <v>10</v>
      </c>
      <c r="E125" s="13">
        <v>1544</v>
      </c>
      <c r="F125" s="13">
        <f t="shared" si="4"/>
        <v>15440</v>
      </c>
      <c r="G125">
        <v>4900</v>
      </c>
      <c r="H125" s="188">
        <f t="shared" si="3"/>
        <v>49000</v>
      </c>
    </row>
    <row r="126" spans="1:8" x14ac:dyDescent="0.25">
      <c r="A126" s="6" t="s">
        <v>302</v>
      </c>
      <c r="B126" s="6" t="s">
        <v>303</v>
      </c>
      <c r="C126" s="6" t="s">
        <v>217</v>
      </c>
      <c r="D126" s="7">
        <v>3</v>
      </c>
      <c r="E126" s="13">
        <v>2977</v>
      </c>
      <c r="F126" s="13">
        <f t="shared" si="4"/>
        <v>8931</v>
      </c>
      <c r="G126">
        <v>5800</v>
      </c>
      <c r="H126" s="188">
        <f t="shared" si="3"/>
        <v>17400</v>
      </c>
    </row>
    <row r="127" spans="1:8" x14ac:dyDescent="0.25">
      <c r="A127" s="6" t="s">
        <v>304</v>
      </c>
      <c r="B127" s="6" t="s">
        <v>305</v>
      </c>
      <c r="C127" s="6" t="s">
        <v>217</v>
      </c>
      <c r="D127" s="7">
        <v>4</v>
      </c>
      <c r="E127" s="13">
        <v>2977</v>
      </c>
      <c r="F127" s="13">
        <f t="shared" si="4"/>
        <v>11908</v>
      </c>
      <c r="G127">
        <v>5800</v>
      </c>
      <c r="H127" s="188">
        <f t="shared" si="3"/>
        <v>23200</v>
      </c>
    </row>
    <row r="128" spans="1:8" x14ac:dyDescent="0.25">
      <c r="A128" s="6" t="s">
        <v>306</v>
      </c>
      <c r="B128" s="6" t="s">
        <v>307</v>
      </c>
      <c r="C128" s="6" t="s">
        <v>217</v>
      </c>
      <c r="D128" s="7">
        <v>1</v>
      </c>
      <c r="E128" s="13">
        <v>2977</v>
      </c>
      <c r="F128" s="13">
        <f t="shared" si="4"/>
        <v>2977</v>
      </c>
      <c r="G128">
        <v>5800</v>
      </c>
      <c r="H128" s="188">
        <f t="shared" si="3"/>
        <v>5800</v>
      </c>
    </row>
    <row r="129" spans="1:8" x14ac:dyDescent="0.25">
      <c r="A129" s="6" t="s">
        <v>308</v>
      </c>
      <c r="B129" s="6" t="s">
        <v>309</v>
      </c>
      <c r="C129" s="6" t="s">
        <v>217</v>
      </c>
      <c r="D129" s="7">
        <v>7</v>
      </c>
      <c r="E129" s="13">
        <v>2977</v>
      </c>
      <c r="F129" s="13">
        <f t="shared" si="4"/>
        <v>20839</v>
      </c>
      <c r="G129">
        <v>5800</v>
      </c>
      <c r="H129" s="188">
        <f t="shared" si="3"/>
        <v>40600</v>
      </c>
    </row>
    <row r="130" spans="1:8" x14ac:dyDescent="0.25">
      <c r="A130" s="6" t="s">
        <v>310</v>
      </c>
      <c r="B130" s="6" t="s">
        <v>311</v>
      </c>
      <c r="C130" s="6" t="s">
        <v>217</v>
      </c>
      <c r="D130" s="7">
        <v>11</v>
      </c>
      <c r="E130" s="13">
        <v>2977</v>
      </c>
      <c r="F130" s="13">
        <f t="shared" si="4"/>
        <v>32747</v>
      </c>
      <c r="G130">
        <v>5800</v>
      </c>
      <c r="H130" s="188">
        <f t="shared" si="3"/>
        <v>63800</v>
      </c>
    </row>
    <row r="131" spans="1:8" x14ac:dyDescent="0.25">
      <c r="A131" s="6" t="s">
        <v>312</v>
      </c>
      <c r="B131" s="6" t="s">
        <v>313</v>
      </c>
      <c r="C131" s="6" t="s">
        <v>217</v>
      </c>
      <c r="D131" s="7">
        <v>5</v>
      </c>
      <c r="E131" s="13">
        <v>2977</v>
      </c>
      <c r="F131" s="13">
        <f t="shared" si="4"/>
        <v>14885</v>
      </c>
      <c r="G131">
        <v>5800</v>
      </c>
      <c r="H131" s="188">
        <f t="shared" si="3"/>
        <v>29000</v>
      </c>
    </row>
    <row r="132" spans="1:8" x14ac:dyDescent="0.25">
      <c r="A132" s="6" t="s">
        <v>314</v>
      </c>
      <c r="B132" s="6" t="s">
        <v>315</v>
      </c>
      <c r="C132" s="6" t="s">
        <v>217</v>
      </c>
      <c r="D132" s="7">
        <v>2</v>
      </c>
      <c r="E132" s="13">
        <v>2977</v>
      </c>
      <c r="F132" s="13">
        <f t="shared" si="4"/>
        <v>5954</v>
      </c>
      <c r="G132">
        <v>5800</v>
      </c>
      <c r="H132" s="188">
        <f t="shared" si="3"/>
        <v>11600</v>
      </c>
    </row>
    <row r="133" spans="1:8" x14ac:dyDescent="0.25">
      <c r="A133" s="6" t="s">
        <v>316</v>
      </c>
      <c r="B133" s="6" t="s">
        <v>317</v>
      </c>
      <c r="C133" s="6" t="s">
        <v>217</v>
      </c>
      <c r="D133" s="7">
        <v>13</v>
      </c>
      <c r="E133" s="13">
        <v>2977</v>
      </c>
      <c r="F133" s="13">
        <f t="shared" si="4"/>
        <v>38701</v>
      </c>
      <c r="G133">
        <v>5800</v>
      </c>
      <c r="H133" s="188">
        <f t="shared" si="3"/>
        <v>75400</v>
      </c>
    </row>
    <row r="134" spans="1:8" x14ac:dyDescent="0.25">
      <c r="A134" s="6" t="s">
        <v>318</v>
      </c>
      <c r="B134" s="6" t="s">
        <v>319</v>
      </c>
      <c r="C134" s="6" t="s">
        <v>217</v>
      </c>
      <c r="D134" s="7">
        <v>3</v>
      </c>
      <c r="E134" s="13">
        <v>2977</v>
      </c>
      <c r="F134" s="13">
        <f t="shared" si="4"/>
        <v>8931</v>
      </c>
      <c r="G134">
        <v>5800</v>
      </c>
      <c r="H134" s="188">
        <f t="shared" si="3"/>
        <v>17400</v>
      </c>
    </row>
    <row r="135" spans="1:8" x14ac:dyDescent="0.25">
      <c r="A135" s="6" t="s">
        <v>320</v>
      </c>
      <c r="B135" s="6" t="s">
        <v>321</v>
      </c>
      <c r="C135" s="6" t="s">
        <v>217</v>
      </c>
      <c r="D135" s="7">
        <v>6</v>
      </c>
      <c r="E135" s="13">
        <v>2977</v>
      </c>
      <c r="F135" s="13">
        <f t="shared" si="4"/>
        <v>17862</v>
      </c>
      <c r="G135">
        <v>5800</v>
      </c>
      <c r="H135" s="188">
        <f t="shared" si="3"/>
        <v>34800</v>
      </c>
    </row>
    <row r="136" spans="1:8" x14ac:dyDescent="0.25">
      <c r="A136" s="6" t="s">
        <v>322</v>
      </c>
      <c r="B136" s="6" t="s">
        <v>323</v>
      </c>
      <c r="C136" s="6" t="s">
        <v>217</v>
      </c>
      <c r="D136" s="7">
        <v>2</v>
      </c>
      <c r="E136" s="13">
        <v>2977</v>
      </c>
      <c r="F136" s="13">
        <f t="shared" si="4"/>
        <v>5954</v>
      </c>
      <c r="G136">
        <v>5800</v>
      </c>
      <c r="H136" s="188">
        <f t="shared" si="3"/>
        <v>11600</v>
      </c>
    </row>
    <row r="137" spans="1:8" x14ac:dyDescent="0.25">
      <c r="A137" s="6" t="s">
        <v>324</v>
      </c>
      <c r="B137" s="6" t="s">
        <v>325</v>
      </c>
      <c r="C137" s="6" t="s">
        <v>217</v>
      </c>
      <c r="D137" s="7">
        <v>3</v>
      </c>
      <c r="E137" s="13">
        <v>2977</v>
      </c>
      <c r="F137" s="13">
        <f t="shared" si="4"/>
        <v>8931</v>
      </c>
      <c r="G137">
        <v>5800</v>
      </c>
      <c r="H137" s="188">
        <f t="shared" si="3"/>
        <v>17400</v>
      </c>
    </row>
    <row r="138" spans="1:8" x14ac:dyDescent="0.25">
      <c r="A138" s="6" t="s">
        <v>326</v>
      </c>
      <c r="B138" s="6" t="s">
        <v>327</v>
      </c>
      <c r="C138" s="6" t="s">
        <v>217</v>
      </c>
      <c r="D138" s="7">
        <v>2</v>
      </c>
      <c r="E138" s="13">
        <v>2977</v>
      </c>
      <c r="F138" s="13">
        <f t="shared" si="4"/>
        <v>5954</v>
      </c>
      <c r="G138">
        <v>5800</v>
      </c>
      <c r="H138" s="188">
        <f t="shared" ref="H138:H201" si="5">G138*D138</f>
        <v>11600</v>
      </c>
    </row>
    <row r="139" spans="1:8" x14ac:dyDescent="0.25">
      <c r="A139" s="6" t="s">
        <v>328</v>
      </c>
      <c r="B139" s="6" t="s">
        <v>329</v>
      </c>
      <c r="C139" s="6" t="s">
        <v>217</v>
      </c>
      <c r="D139" s="7">
        <v>8</v>
      </c>
      <c r="E139" s="13">
        <v>2977</v>
      </c>
      <c r="F139" s="13">
        <f t="shared" si="4"/>
        <v>23816</v>
      </c>
      <c r="G139">
        <v>5800</v>
      </c>
      <c r="H139" s="188">
        <f t="shared" si="5"/>
        <v>46400</v>
      </c>
    </row>
    <row r="140" spans="1:8" x14ac:dyDescent="0.25">
      <c r="A140" s="6" t="s">
        <v>356</v>
      </c>
      <c r="B140" s="6" t="s">
        <v>357</v>
      </c>
      <c r="C140" s="6" t="s">
        <v>217</v>
      </c>
      <c r="D140" s="7">
        <v>1</v>
      </c>
      <c r="E140" s="13">
        <v>1277</v>
      </c>
      <c r="F140" s="13">
        <f t="shared" si="4"/>
        <v>1277</v>
      </c>
      <c r="G140">
        <v>3200</v>
      </c>
      <c r="H140" s="188">
        <f t="shared" si="5"/>
        <v>3200</v>
      </c>
    </row>
    <row r="141" spans="1:8" x14ac:dyDescent="0.25">
      <c r="A141" s="6" t="s">
        <v>358</v>
      </c>
      <c r="B141" s="6" t="s">
        <v>359</v>
      </c>
      <c r="C141" s="6" t="s">
        <v>217</v>
      </c>
      <c r="D141" s="7">
        <v>1</v>
      </c>
      <c r="E141" s="13">
        <v>1277</v>
      </c>
      <c r="F141" s="13">
        <f t="shared" si="4"/>
        <v>1277</v>
      </c>
      <c r="G141">
        <v>3200</v>
      </c>
      <c r="H141" s="188">
        <f t="shared" si="5"/>
        <v>3200</v>
      </c>
    </row>
    <row r="142" spans="1:8" x14ac:dyDescent="0.25">
      <c r="A142" s="6" t="s">
        <v>386</v>
      </c>
      <c r="B142" s="6" t="s">
        <v>387</v>
      </c>
      <c r="C142" s="6" t="s">
        <v>217</v>
      </c>
      <c r="D142" s="7">
        <v>1</v>
      </c>
      <c r="E142" s="13">
        <v>1597.7</v>
      </c>
      <c r="F142" s="13">
        <f t="shared" si="4"/>
        <v>1597.7</v>
      </c>
      <c r="G142">
        <v>3800</v>
      </c>
      <c r="H142" s="188">
        <f t="shared" si="5"/>
        <v>3800</v>
      </c>
    </row>
    <row r="143" spans="1:8" x14ac:dyDescent="0.25">
      <c r="A143" s="6" t="s">
        <v>388</v>
      </c>
      <c r="B143" s="6" t="s">
        <v>389</v>
      </c>
      <c r="C143" s="6" t="s">
        <v>217</v>
      </c>
      <c r="D143" s="7">
        <v>10</v>
      </c>
      <c r="E143" s="13">
        <v>2977</v>
      </c>
      <c r="F143" s="13">
        <f t="shared" si="4"/>
        <v>29770</v>
      </c>
      <c r="G143">
        <v>5800</v>
      </c>
      <c r="H143" s="188">
        <f t="shared" si="5"/>
        <v>58000</v>
      </c>
    </row>
    <row r="144" spans="1:8" x14ac:dyDescent="0.25">
      <c r="A144" s="6" t="s">
        <v>390</v>
      </c>
      <c r="B144" s="6" t="s">
        <v>391</v>
      </c>
      <c r="C144" s="6" t="s">
        <v>217</v>
      </c>
      <c r="D144" s="7">
        <v>1</v>
      </c>
      <c r="E144" s="13">
        <v>1544</v>
      </c>
      <c r="F144" s="13">
        <f t="shared" si="4"/>
        <v>1544</v>
      </c>
      <c r="G144">
        <v>4900</v>
      </c>
      <c r="H144" s="188">
        <f t="shared" si="5"/>
        <v>4900</v>
      </c>
    </row>
    <row r="145" spans="1:8" x14ac:dyDescent="0.25">
      <c r="A145" s="6" t="s">
        <v>384</v>
      </c>
      <c r="B145" s="6" t="s">
        <v>385</v>
      </c>
      <c r="C145" s="6" t="s">
        <v>217</v>
      </c>
      <c r="D145" s="7">
        <v>2</v>
      </c>
      <c r="E145" s="13">
        <v>1277</v>
      </c>
      <c r="F145" s="13">
        <f t="shared" si="4"/>
        <v>2554</v>
      </c>
      <c r="G145">
        <v>3200</v>
      </c>
      <c r="H145" s="188">
        <f t="shared" si="5"/>
        <v>6400</v>
      </c>
    </row>
    <row r="146" spans="1:8" x14ac:dyDescent="0.25">
      <c r="A146" s="6" t="s">
        <v>330</v>
      </c>
      <c r="B146" s="6" t="s">
        <v>331</v>
      </c>
      <c r="C146" s="6" t="s">
        <v>217</v>
      </c>
      <c r="D146" s="7">
        <v>1</v>
      </c>
      <c r="E146" s="13">
        <v>1277</v>
      </c>
      <c r="F146" s="13">
        <f t="shared" si="4"/>
        <v>1277</v>
      </c>
      <c r="G146">
        <v>3200</v>
      </c>
      <c r="H146" s="188">
        <f t="shared" si="5"/>
        <v>3200</v>
      </c>
    </row>
    <row r="147" spans="1:8" x14ac:dyDescent="0.25">
      <c r="A147" s="6" t="s">
        <v>332</v>
      </c>
      <c r="B147" s="6" t="s">
        <v>333</v>
      </c>
      <c r="C147" s="6" t="s">
        <v>217</v>
      </c>
      <c r="D147" s="7">
        <v>2</v>
      </c>
      <c r="E147" s="13">
        <v>1277</v>
      </c>
      <c r="F147" s="13">
        <f t="shared" ref="F147:F153" si="6">D147*E147</f>
        <v>2554</v>
      </c>
      <c r="G147">
        <v>3200</v>
      </c>
      <c r="H147" s="188">
        <f t="shared" si="5"/>
        <v>6400</v>
      </c>
    </row>
    <row r="148" spans="1:8" x14ac:dyDescent="0.25">
      <c r="A148" s="6" t="s">
        <v>338</v>
      </c>
      <c r="B148" s="6" t="s">
        <v>339</v>
      </c>
      <c r="C148" s="6" t="s">
        <v>217</v>
      </c>
      <c r="D148" s="7">
        <v>14</v>
      </c>
      <c r="E148" s="13">
        <v>731</v>
      </c>
      <c r="F148" s="13">
        <f t="shared" si="6"/>
        <v>10234</v>
      </c>
      <c r="G148">
        <v>2000</v>
      </c>
      <c r="H148" s="188">
        <f t="shared" si="5"/>
        <v>28000</v>
      </c>
    </row>
    <row r="149" spans="1:8" x14ac:dyDescent="0.25">
      <c r="A149" s="6" t="s">
        <v>340</v>
      </c>
      <c r="B149" s="6" t="s">
        <v>341</v>
      </c>
      <c r="C149" s="6" t="s">
        <v>217</v>
      </c>
      <c r="D149" s="7">
        <v>9</v>
      </c>
      <c r="E149" s="13">
        <v>1597.7</v>
      </c>
      <c r="F149" s="13">
        <f t="shared" si="6"/>
        <v>14379.300000000001</v>
      </c>
      <c r="G149">
        <v>3800</v>
      </c>
      <c r="H149" s="188">
        <f t="shared" si="5"/>
        <v>34200</v>
      </c>
    </row>
    <row r="150" spans="1:8" x14ac:dyDescent="0.25">
      <c r="A150" s="6" t="s">
        <v>342</v>
      </c>
      <c r="B150" s="6" t="s">
        <v>343</v>
      </c>
      <c r="C150" s="6" t="s">
        <v>217</v>
      </c>
      <c r="D150" s="7">
        <v>5</v>
      </c>
      <c r="E150" s="13">
        <v>2977</v>
      </c>
      <c r="F150" s="13">
        <f t="shared" si="6"/>
        <v>14885</v>
      </c>
      <c r="G150">
        <v>5800</v>
      </c>
      <c r="H150" s="188">
        <f t="shared" si="5"/>
        <v>29000</v>
      </c>
    </row>
    <row r="151" spans="1:8" x14ac:dyDescent="0.25">
      <c r="A151" s="6" t="s">
        <v>344</v>
      </c>
      <c r="B151" s="6" t="s">
        <v>345</v>
      </c>
      <c r="C151" s="6" t="s">
        <v>217</v>
      </c>
      <c r="D151" s="7">
        <v>16</v>
      </c>
      <c r="E151" s="13">
        <v>832</v>
      </c>
      <c r="F151" s="13">
        <f t="shared" si="6"/>
        <v>13312</v>
      </c>
      <c r="G151">
        <v>2700</v>
      </c>
      <c r="H151" s="188">
        <f t="shared" si="5"/>
        <v>43200</v>
      </c>
    </row>
    <row r="152" spans="1:8" x14ac:dyDescent="0.25">
      <c r="A152" s="6" t="s">
        <v>346</v>
      </c>
      <c r="B152" s="6" t="s">
        <v>347</v>
      </c>
      <c r="C152" s="6" t="s">
        <v>217</v>
      </c>
      <c r="D152" s="7">
        <v>6</v>
      </c>
      <c r="E152" s="13">
        <v>1544</v>
      </c>
      <c r="F152" s="13">
        <f t="shared" si="6"/>
        <v>9264</v>
      </c>
      <c r="G152">
        <v>4900</v>
      </c>
      <c r="H152" s="188">
        <f t="shared" si="5"/>
        <v>29400</v>
      </c>
    </row>
    <row r="153" spans="1:8" x14ac:dyDescent="0.25">
      <c r="A153" s="6" t="s">
        <v>354</v>
      </c>
      <c r="B153" s="6" t="s">
        <v>355</v>
      </c>
      <c r="C153" s="6" t="s">
        <v>217</v>
      </c>
      <c r="D153" s="7">
        <v>30</v>
      </c>
      <c r="E153" s="13">
        <v>832</v>
      </c>
      <c r="F153" s="13">
        <f t="shared" si="6"/>
        <v>24960</v>
      </c>
      <c r="G153">
        <v>2700</v>
      </c>
      <c r="H153" s="188">
        <f t="shared" si="5"/>
        <v>81000</v>
      </c>
    </row>
    <row r="154" spans="1:8" x14ac:dyDescent="0.25">
      <c r="A154" s="89">
        <v>45536</v>
      </c>
      <c r="B154" s="91"/>
      <c r="C154" s="91"/>
      <c r="D154" s="91"/>
      <c r="E154" s="92"/>
      <c r="F154" s="92"/>
      <c r="H154" s="188">
        <f t="shared" si="5"/>
        <v>0</v>
      </c>
    </row>
    <row r="155" spans="1:8" x14ac:dyDescent="0.25">
      <c r="A155" s="6" t="s">
        <v>360</v>
      </c>
      <c r="B155" s="6" t="s">
        <v>361</v>
      </c>
      <c r="C155" s="6" t="s">
        <v>217</v>
      </c>
      <c r="D155" s="7">
        <v>70</v>
      </c>
      <c r="E155" s="13">
        <v>731</v>
      </c>
      <c r="F155" s="13">
        <f>D155*E155</f>
        <v>51170</v>
      </c>
      <c r="G155">
        <v>2000</v>
      </c>
      <c r="H155" s="188">
        <f t="shared" si="5"/>
        <v>140000</v>
      </c>
    </row>
    <row r="156" spans="1:8" x14ac:dyDescent="0.25">
      <c r="A156" s="6" t="s">
        <v>215</v>
      </c>
      <c r="B156" s="6" t="s">
        <v>216</v>
      </c>
      <c r="C156" s="6" t="s">
        <v>217</v>
      </c>
      <c r="D156" s="7">
        <v>23</v>
      </c>
      <c r="E156" s="13">
        <v>731</v>
      </c>
      <c r="F156" s="13">
        <f t="shared" ref="F156:F191" si="7">D156*E156</f>
        <v>16813</v>
      </c>
      <c r="G156">
        <v>2000</v>
      </c>
      <c r="H156" s="188">
        <f t="shared" si="5"/>
        <v>46000</v>
      </c>
    </row>
    <row r="157" spans="1:8" x14ac:dyDescent="0.25">
      <c r="A157" s="6" t="s">
        <v>218</v>
      </c>
      <c r="B157" s="6" t="s">
        <v>219</v>
      </c>
      <c r="C157" s="6" t="s">
        <v>217</v>
      </c>
      <c r="D157" s="7">
        <v>25</v>
      </c>
      <c r="E157" s="13">
        <v>731</v>
      </c>
      <c r="F157" s="13">
        <f t="shared" si="7"/>
        <v>18275</v>
      </c>
      <c r="G157">
        <v>2000</v>
      </c>
      <c r="H157" s="188">
        <f t="shared" si="5"/>
        <v>50000</v>
      </c>
    </row>
    <row r="158" spans="1:8" x14ac:dyDescent="0.25">
      <c r="A158" s="6" t="s">
        <v>220</v>
      </c>
      <c r="B158" s="6" t="s">
        <v>221</v>
      </c>
      <c r="C158" s="6" t="s">
        <v>217</v>
      </c>
      <c r="D158" s="7">
        <v>4</v>
      </c>
      <c r="E158" s="13">
        <v>731</v>
      </c>
      <c r="F158" s="13">
        <f t="shared" si="7"/>
        <v>2924</v>
      </c>
      <c r="G158">
        <v>2000</v>
      </c>
      <c r="H158" s="188">
        <f t="shared" si="5"/>
        <v>8000</v>
      </c>
    </row>
    <row r="159" spans="1:8" x14ac:dyDescent="0.25">
      <c r="A159" s="6" t="s">
        <v>222</v>
      </c>
      <c r="B159" s="6" t="s">
        <v>223</v>
      </c>
      <c r="C159" s="6" t="s">
        <v>217</v>
      </c>
      <c r="D159" s="7">
        <v>18</v>
      </c>
      <c r="E159" s="13">
        <v>731</v>
      </c>
      <c r="F159" s="13">
        <f t="shared" si="7"/>
        <v>13158</v>
      </c>
      <c r="G159">
        <v>2000</v>
      </c>
      <c r="H159" s="188">
        <f t="shared" si="5"/>
        <v>36000</v>
      </c>
    </row>
    <row r="160" spans="1:8" x14ac:dyDescent="0.25">
      <c r="A160" s="6" t="s">
        <v>224</v>
      </c>
      <c r="B160" s="6" t="s">
        <v>225</v>
      </c>
      <c r="C160" s="6" t="s">
        <v>217</v>
      </c>
      <c r="D160" s="7">
        <v>14</v>
      </c>
      <c r="E160" s="13">
        <v>731</v>
      </c>
      <c r="F160" s="13">
        <f t="shared" si="7"/>
        <v>10234</v>
      </c>
      <c r="G160">
        <v>2000</v>
      </c>
      <c r="H160" s="188">
        <f t="shared" si="5"/>
        <v>28000</v>
      </c>
    </row>
    <row r="161" spans="1:8" x14ac:dyDescent="0.25">
      <c r="A161" s="6" t="s">
        <v>226</v>
      </c>
      <c r="B161" s="6" t="s">
        <v>227</v>
      </c>
      <c r="C161" s="6" t="s">
        <v>217</v>
      </c>
      <c r="D161" s="7">
        <v>29</v>
      </c>
      <c r="E161" s="13">
        <v>731</v>
      </c>
      <c r="F161" s="13">
        <f t="shared" si="7"/>
        <v>21199</v>
      </c>
      <c r="G161">
        <v>2000</v>
      </c>
      <c r="H161" s="188">
        <f t="shared" si="5"/>
        <v>58000</v>
      </c>
    </row>
    <row r="162" spans="1:8" x14ac:dyDescent="0.25">
      <c r="A162" s="6" t="s">
        <v>228</v>
      </c>
      <c r="B162" s="6" t="s">
        <v>229</v>
      </c>
      <c r="C162" s="6" t="s">
        <v>217</v>
      </c>
      <c r="D162" s="7">
        <v>25</v>
      </c>
      <c r="E162" s="13">
        <v>731</v>
      </c>
      <c r="F162" s="13">
        <f t="shared" si="7"/>
        <v>18275</v>
      </c>
      <c r="G162">
        <v>2000</v>
      </c>
      <c r="H162" s="188">
        <f t="shared" si="5"/>
        <v>50000</v>
      </c>
    </row>
    <row r="163" spans="1:8" x14ac:dyDescent="0.25">
      <c r="A163" s="6" t="s">
        <v>230</v>
      </c>
      <c r="B163" s="6" t="s">
        <v>231</v>
      </c>
      <c r="C163" s="6" t="s">
        <v>217</v>
      </c>
      <c r="D163" s="7">
        <v>32</v>
      </c>
      <c r="E163" s="13">
        <v>731</v>
      </c>
      <c r="F163" s="13">
        <f t="shared" si="7"/>
        <v>23392</v>
      </c>
      <c r="G163">
        <v>2000</v>
      </c>
      <c r="H163" s="188">
        <f t="shared" si="5"/>
        <v>64000</v>
      </c>
    </row>
    <row r="164" spans="1:8" x14ac:dyDescent="0.25">
      <c r="A164" s="6" t="s">
        <v>232</v>
      </c>
      <c r="B164" s="6" t="s">
        <v>233</v>
      </c>
      <c r="C164" s="6" t="s">
        <v>217</v>
      </c>
      <c r="D164" s="7">
        <v>21</v>
      </c>
      <c r="E164" s="13">
        <v>731</v>
      </c>
      <c r="F164" s="13">
        <f t="shared" si="7"/>
        <v>15351</v>
      </c>
      <c r="G164">
        <v>2000</v>
      </c>
      <c r="H164" s="188">
        <f t="shared" si="5"/>
        <v>42000</v>
      </c>
    </row>
    <row r="165" spans="1:8" x14ac:dyDescent="0.25">
      <c r="A165" s="6" t="s">
        <v>234</v>
      </c>
      <c r="B165" s="6" t="s">
        <v>235</v>
      </c>
      <c r="C165" s="6" t="s">
        <v>217</v>
      </c>
      <c r="D165" s="7">
        <v>17</v>
      </c>
      <c r="E165" s="13">
        <v>731</v>
      </c>
      <c r="F165" s="13">
        <f t="shared" si="7"/>
        <v>12427</v>
      </c>
      <c r="G165">
        <v>2000</v>
      </c>
      <c r="H165" s="188">
        <f t="shared" si="5"/>
        <v>34000</v>
      </c>
    </row>
    <row r="166" spans="1:8" x14ac:dyDescent="0.25">
      <c r="A166" s="6" t="s">
        <v>236</v>
      </c>
      <c r="B166" s="6" t="s">
        <v>237</v>
      </c>
      <c r="C166" s="6" t="s">
        <v>217</v>
      </c>
      <c r="D166" s="7">
        <v>38</v>
      </c>
      <c r="E166" s="13">
        <v>731</v>
      </c>
      <c r="F166" s="13">
        <f t="shared" si="7"/>
        <v>27778</v>
      </c>
      <c r="G166">
        <v>2000</v>
      </c>
      <c r="H166" s="188">
        <f t="shared" si="5"/>
        <v>76000</v>
      </c>
    </row>
    <row r="167" spans="1:8" x14ac:dyDescent="0.25">
      <c r="A167" s="6" t="s">
        <v>238</v>
      </c>
      <c r="B167" s="6" t="s">
        <v>239</v>
      </c>
      <c r="C167" s="6" t="s">
        <v>217</v>
      </c>
      <c r="D167" s="7">
        <v>8</v>
      </c>
      <c r="E167" s="13">
        <v>731</v>
      </c>
      <c r="F167" s="13">
        <f t="shared" si="7"/>
        <v>5848</v>
      </c>
      <c r="G167">
        <v>2000</v>
      </c>
      <c r="H167" s="188">
        <f t="shared" si="5"/>
        <v>16000</v>
      </c>
    </row>
    <row r="168" spans="1:8" x14ac:dyDescent="0.25">
      <c r="A168" s="6" t="s">
        <v>240</v>
      </c>
      <c r="B168" s="6" t="s">
        <v>241</v>
      </c>
      <c r="C168" s="6" t="s">
        <v>217</v>
      </c>
      <c r="D168" s="7">
        <v>7</v>
      </c>
      <c r="E168" s="13">
        <v>731</v>
      </c>
      <c r="F168" s="13">
        <f t="shared" si="7"/>
        <v>5117</v>
      </c>
      <c r="G168">
        <v>2000</v>
      </c>
      <c r="H168" s="188">
        <f t="shared" si="5"/>
        <v>14000</v>
      </c>
    </row>
    <row r="169" spans="1:8" x14ac:dyDescent="0.25">
      <c r="A169" s="6" t="s">
        <v>242</v>
      </c>
      <c r="B169" s="6" t="s">
        <v>243</v>
      </c>
      <c r="C169" s="6" t="s">
        <v>217</v>
      </c>
      <c r="D169" s="7">
        <v>19</v>
      </c>
      <c r="E169" s="13">
        <v>731</v>
      </c>
      <c r="F169" s="13">
        <f t="shared" si="7"/>
        <v>13889</v>
      </c>
      <c r="G169">
        <v>2000</v>
      </c>
      <c r="H169" s="188">
        <f t="shared" si="5"/>
        <v>38000</v>
      </c>
    </row>
    <row r="170" spans="1:8" x14ac:dyDescent="0.25">
      <c r="A170" s="6" t="s">
        <v>244</v>
      </c>
      <c r="B170" s="6" t="s">
        <v>245</v>
      </c>
      <c r="C170" s="6" t="s">
        <v>217</v>
      </c>
      <c r="D170" s="7">
        <v>8</v>
      </c>
      <c r="E170" s="13">
        <v>1597.7</v>
      </c>
      <c r="F170" s="13">
        <f t="shared" si="7"/>
        <v>12781.6</v>
      </c>
      <c r="G170">
        <v>3800</v>
      </c>
      <c r="H170" s="188">
        <f t="shared" si="5"/>
        <v>30400</v>
      </c>
    </row>
    <row r="171" spans="1:8" x14ac:dyDescent="0.25">
      <c r="A171" s="6" t="s">
        <v>246</v>
      </c>
      <c r="B171" s="6" t="s">
        <v>247</v>
      </c>
      <c r="C171" s="6" t="s">
        <v>217</v>
      </c>
      <c r="D171" s="7">
        <v>14</v>
      </c>
      <c r="E171" s="13">
        <v>1597.7</v>
      </c>
      <c r="F171" s="13">
        <f t="shared" si="7"/>
        <v>22367.8</v>
      </c>
      <c r="G171">
        <v>3800</v>
      </c>
      <c r="H171" s="188">
        <f t="shared" si="5"/>
        <v>53200</v>
      </c>
    </row>
    <row r="172" spans="1:8" x14ac:dyDescent="0.25">
      <c r="A172" s="6" t="s">
        <v>248</v>
      </c>
      <c r="B172" s="6" t="s">
        <v>249</v>
      </c>
      <c r="C172" s="6" t="s">
        <v>217</v>
      </c>
      <c r="D172" s="7">
        <v>5</v>
      </c>
      <c r="E172" s="13">
        <v>1597.7</v>
      </c>
      <c r="F172" s="13">
        <f t="shared" si="7"/>
        <v>7988.5</v>
      </c>
      <c r="G172">
        <v>3800</v>
      </c>
      <c r="H172" s="188">
        <f t="shared" si="5"/>
        <v>19000</v>
      </c>
    </row>
    <row r="173" spans="1:8" x14ac:dyDescent="0.25">
      <c r="A173" s="6" t="s">
        <v>250</v>
      </c>
      <c r="B173" s="6" t="s">
        <v>251</v>
      </c>
      <c r="C173" s="6" t="s">
        <v>217</v>
      </c>
      <c r="D173" s="7">
        <v>14</v>
      </c>
      <c r="E173" s="13">
        <v>1597.7</v>
      </c>
      <c r="F173" s="13">
        <f t="shared" si="7"/>
        <v>22367.8</v>
      </c>
      <c r="G173">
        <v>3800</v>
      </c>
      <c r="H173" s="188">
        <f t="shared" si="5"/>
        <v>53200</v>
      </c>
    </row>
    <row r="174" spans="1:8" x14ac:dyDescent="0.25">
      <c r="A174" s="6" t="s">
        <v>252</v>
      </c>
      <c r="B174" s="6" t="s">
        <v>253</v>
      </c>
      <c r="C174" s="6" t="s">
        <v>217</v>
      </c>
      <c r="D174" s="7">
        <v>15</v>
      </c>
      <c r="E174" s="13">
        <v>1597.7</v>
      </c>
      <c r="F174" s="13">
        <f t="shared" si="7"/>
        <v>23965.5</v>
      </c>
      <c r="G174">
        <v>3800</v>
      </c>
      <c r="H174" s="188">
        <f t="shared" si="5"/>
        <v>57000</v>
      </c>
    </row>
    <row r="175" spans="1:8" x14ac:dyDescent="0.25">
      <c r="A175" s="6" t="s">
        <v>254</v>
      </c>
      <c r="B175" s="6" t="s">
        <v>255</v>
      </c>
      <c r="C175" s="6" t="s">
        <v>217</v>
      </c>
      <c r="D175" s="7">
        <v>11</v>
      </c>
      <c r="E175" s="13">
        <v>1597.7</v>
      </c>
      <c r="F175" s="13">
        <f t="shared" si="7"/>
        <v>17574.7</v>
      </c>
      <c r="G175">
        <v>3800</v>
      </c>
      <c r="H175" s="188">
        <f t="shared" si="5"/>
        <v>41800</v>
      </c>
    </row>
    <row r="176" spans="1:8" x14ac:dyDescent="0.25">
      <c r="A176" s="6" t="s">
        <v>256</v>
      </c>
      <c r="B176" s="6" t="s">
        <v>257</v>
      </c>
      <c r="C176" s="6" t="s">
        <v>217</v>
      </c>
      <c r="D176" s="7">
        <v>12</v>
      </c>
      <c r="E176" s="13">
        <v>1597.7</v>
      </c>
      <c r="F176" s="13">
        <f t="shared" si="7"/>
        <v>19172.400000000001</v>
      </c>
      <c r="G176">
        <v>3800</v>
      </c>
      <c r="H176" s="188">
        <f t="shared" si="5"/>
        <v>45600</v>
      </c>
    </row>
    <row r="177" spans="1:8" x14ac:dyDescent="0.25">
      <c r="A177" s="6" t="s">
        <v>258</v>
      </c>
      <c r="B177" s="6" t="s">
        <v>259</v>
      </c>
      <c r="C177" s="6" t="s">
        <v>217</v>
      </c>
      <c r="D177" s="7">
        <v>18</v>
      </c>
      <c r="E177" s="13">
        <v>1597.7</v>
      </c>
      <c r="F177" s="13">
        <f t="shared" si="7"/>
        <v>28758.600000000002</v>
      </c>
      <c r="G177">
        <v>3800</v>
      </c>
      <c r="H177" s="188">
        <f t="shared" si="5"/>
        <v>68400</v>
      </c>
    </row>
    <row r="178" spans="1:8" x14ac:dyDescent="0.25">
      <c r="A178" s="6" t="s">
        <v>260</v>
      </c>
      <c r="B178" s="6" t="s">
        <v>261</v>
      </c>
      <c r="C178" s="6" t="s">
        <v>217</v>
      </c>
      <c r="D178" s="7">
        <v>11</v>
      </c>
      <c r="E178" s="13">
        <v>1597.7</v>
      </c>
      <c r="F178" s="13">
        <f t="shared" si="7"/>
        <v>17574.7</v>
      </c>
      <c r="G178">
        <v>3800</v>
      </c>
      <c r="H178" s="188">
        <f t="shared" si="5"/>
        <v>41800</v>
      </c>
    </row>
    <row r="179" spans="1:8" x14ac:dyDescent="0.25">
      <c r="A179" s="6" t="s">
        <v>262</v>
      </c>
      <c r="B179" s="6" t="s">
        <v>263</v>
      </c>
      <c r="C179" s="6" t="s">
        <v>217</v>
      </c>
      <c r="D179" s="7">
        <v>7</v>
      </c>
      <c r="E179" s="13">
        <v>1597.7</v>
      </c>
      <c r="F179" s="13">
        <f t="shared" si="7"/>
        <v>11183.9</v>
      </c>
      <c r="G179">
        <v>3800</v>
      </c>
      <c r="H179" s="188">
        <f t="shared" si="5"/>
        <v>26600</v>
      </c>
    </row>
    <row r="180" spans="1:8" x14ac:dyDescent="0.25">
      <c r="A180" s="6" t="s">
        <v>264</v>
      </c>
      <c r="B180" s="6" t="s">
        <v>265</v>
      </c>
      <c r="C180" s="6" t="s">
        <v>217</v>
      </c>
      <c r="D180" s="7">
        <v>12</v>
      </c>
      <c r="E180" s="13">
        <v>1597.7</v>
      </c>
      <c r="F180" s="13">
        <f t="shared" si="7"/>
        <v>19172.400000000001</v>
      </c>
      <c r="G180">
        <v>3800</v>
      </c>
      <c r="H180" s="188">
        <f t="shared" si="5"/>
        <v>45600</v>
      </c>
    </row>
    <row r="181" spans="1:8" x14ac:dyDescent="0.25">
      <c r="A181" s="6" t="s">
        <v>266</v>
      </c>
      <c r="B181" s="6" t="s">
        <v>267</v>
      </c>
      <c r="C181" s="6" t="s">
        <v>217</v>
      </c>
      <c r="D181" s="7">
        <v>5</v>
      </c>
      <c r="E181" s="13">
        <v>1597.7</v>
      </c>
      <c r="F181" s="13">
        <f t="shared" si="7"/>
        <v>7988.5</v>
      </c>
      <c r="G181">
        <v>3800</v>
      </c>
      <c r="H181" s="188">
        <f t="shared" si="5"/>
        <v>19000</v>
      </c>
    </row>
    <row r="182" spans="1:8" x14ac:dyDescent="0.25">
      <c r="A182" s="6" t="s">
        <v>268</v>
      </c>
      <c r="B182" s="6" t="s">
        <v>269</v>
      </c>
      <c r="C182" s="6" t="s">
        <v>217</v>
      </c>
      <c r="D182" s="7">
        <v>3</v>
      </c>
      <c r="E182" s="13">
        <v>1597.7</v>
      </c>
      <c r="F182" s="13">
        <f t="shared" si="7"/>
        <v>4793.1000000000004</v>
      </c>
      <c r="G182">
        <v>3800</v>
      </c>
      <c r="H182" s="188">
        <f t="shared" si="5"/>
        <v>11400</v>
      </c>
    </row>
    <row r="183" spans="1:8" x14ac:dyDescent="0.25">
      <c r="A183" s="6" t="s">
        <v>270</v>
      </c>
      <c r="B183" s="6" t="s">
        <v>271</v>
      </c>
      <c r="C183" s="6" t="s">
        <v>217</v>
      </c>
      <c r="D183" s="7">
        <v>9</v>
      </c>
      <c r="E183" s="13">
        <v>1597.7</v>
      </c>
      <c r="F183" s="13">
        <f t="shared" si="7"/>
        <v>14379.300000000001</v>
      </c>
      <c r="G183">
        <v>3800</v>
      </c>
      <c r="H183" s="188">
        <f t="shared" si="5"/>
        <v>34200</v>
      </c>
    </row>
    <row r="184" spans="1:8" x14ac:dyDescent="0.25">
      <c r="A184" s="6" t="s">
        <v>272</v>
      </c>
      <c r="B184" s="6" t="s">
        <v>273</v>
      </c>
      <c r="C184" s="6" t="s">
        <v>217</v>
      </c>
      <c r="D184" s="7">
        <v>14</v>
      </c>
      <c r="E184" s="13">
        <v>832</v>
      </c>
      <c r="F184" s="13">
        <f t="shared" si="7"/>
        <v>11648</v>
      </c>
      <c r="G184">
        <v>2700</v>
      </c>
      <c r="H184" s="188">
        <f t="shared" si="5"/>
        <v>37800</v>
      </c>
    </row>
    <row r="185" spans="1:8" x14ac:dyDescent="0.25">
      <c r="A185" s="6" t="s">
        <v>274</v>
      </c>
      <c r="B185" s="6" t="s">
        <v>275</v>
      </c>
      <c r="C185" s="6" t="s">
        <v>217</v>
      </c>
      <c r="D185" s="7">
        <v>24</v>
      </c>
      <c r="E185" s="13">
        <v>832</v>
      </c>
      <c r="F185" s="13">
        <f t="shared" si="7"/>
        <v>19968</v>
      </c>
      <c r="G185">
        <v>2700</v>
      </c>
      <c r="H185" s="188">
        <f t="shared" si="5"/>
        <v>64800</v>
      </c>
    </row>
    <row r="186" spans="1:8" x14ac:dyDescent="0.25">
      <c r="A186" s="6" t="s">
        <v>276</v>
      </c>
      <c r="B186" s="6" t="s">
        <v>277</v>
      </c>
      <c r="C186" s="6" t="s">
        <v>217</v>
      </c>
      <c r="D186" s="7">
        <v>22</v>
      </c>
      <c r="E186" s="13">
        <v>832</v>
      </c>
      <c r="F186" s="13">
        <f t="shared" si="7"/>
        <v>18304</v>
      </c>
      <c r="G186">
        <v>2700</v>
      </c>
      <c r="H186" s="188">
        <f t="shared" si="5"/>
        <v>59400</v>
      </c>
    </row>
    <row r="187" spans="1:8" x14ac:dyDescent="0.25">
      <c r="A187" s="6" t="s">
        <v>278</v>
      </c>
      <c r="B187" s="6" t="s">
        <v>279</v>
      </c>
      <c r="C187" s="6" t="s">
        <v>217</v>
      </c>
      <c r="D187" s="7">
        <v>12</v>
      </c>
      <c r="E187" s="13">
        <v>832</v>
      </c>
      <c r="F187" s="13">
        <f t="shared" si="7"/>
        <v>9984</v>
      </c>
      <c r="G187">
        <v>2700</v>
      </c>
      <c r="H187" s="188">
        <f t="shared" si="5"/>
        <v>32400</v>
      </c>
    </row>
    <row r="188" spans="1:8" x14ac:dyDescent="0.25">
      <c r="A188" s="6" t="s">
        <v>280</v>
      </c>
      <c r="B188" s="6" t="s">
        <v>281</v>
      </c>
      <c r="C188" s="6" t="s">
        <v>217</v>
      </c>
      <c r="D188" s="7">
        <v>31</v>
      </c>
      <c r="E188" s="13">
        <v>832</v>
      </c>
      <c r="F188" s="13">
        <f t="shared" si="7"/>
        <v>25792</v>
      </c>
      <c r="G188">
        <v>2700</v>
      </c>
      <c r="H188" s="188">
        <f t="shared" si="5"/>
        <v>83700</v>
      </c>
    </row>
    <row r="189" spans="1:8" x14ac:dyDescent="0.25">
      <c r="A189" s="6" t="s">
        <v>282</v>
      </c>
      <c r="B189" s="6" t="s">
        <v>283</v>
      </c>
      <c r="C189" s="6" t="s">
        <v>217</v>
      </c>
      <c r="D189" s="7">
        <v>14</v>
      </c>
      <c r="E189" s="13">
        <v>832</v>
      </c>
      <c r="F189" s="13">
        <f t="shared" si="7"/>
        <v>11648</v>
      </c>
      <c r="G189">
        <v>2700</v>
      </c>
      <c r="H189" s="188">
        <f t="shared" si="5"/>
        <v>37800</v>
      </c>
    </row>
    <row r="190" spans="1:8" x14ac:dyDescent="0.25">
      <c r="A190" s="6" t="s">
        <v>284</v>
      </c>
      <c r="B190" s="6" t="s">
        <v>285</v>
      </c>
      <c r="C190" s="6" t="s">
        <v>217</v>
      </c>
      <c r="D190" s="7">
        <v>12</v>
      </c>
      <c r="E190" s="13">
        <v>832</v>
      </c>
      <c r="F190" s="13">
        <f t="shared" si="7"/>
        <v>9984</v>
      </c>
      <c r="G190">
        <v>2700</v>
      </c>
      <c r="H190" s="188">
        <f t="shared" si="5"/>
        <v>32400</v>
      </c>
    </row>
    <row r="191" spans="1:8" x14ac:dyDescent="0.25">
      <c r="A191" s="6" t="s">
        <v>286</v>
      </c>
      <c r="B191" s="6" t="s">
        <v>287</v>
      </c>
      <c r="C191" s="6" t="s">
        <v>217</v>
      </c>
      <c r="D191" s="7">
        <v>25</v>
      </c>
      <c r="E191" s="13">
        <v>832</v>
      </c>
      <c r="F191" s="13">
        <f t="shared" si="7"/>
        <v>20800</v>
      </c>
      <c r="G191">
        <v>2700</v>
      </c>
      <c r="H191" s="188">
        <f t="shared" si="5"/>
        <v>67500</v>
      </c>
    </row>
    <row r="192" spans="1:8" x14ac:dyDescent="0.25">
      <c r="A192" s="6" t="s">
        <v>288</v>
      </c>
      <c r="B192" s="6" t="s">
        <v>289</v>
      </c>
      <c r="C192" s="6" t="s">
        <v>217</v>
      </c>
      <c r="D192" s="7">
        <v>6</v>
      </c>
      <c r="E192" s="13">
        <v>1544</v>
      </c>
      <c r="F192" s="13">
        <f>D192*E192</f>
        <v>9264</v>
      </c>
      <c r="G192">
        <v>4900</v>
      </c>
      <c r="H192" s="188">
        <f t="shared" si="5"/>
        <v>29400</v>
      </c>
    </row>
    <row r="193" spans="1:8" x14ac:dyDescent="0.25">
      <c r="A193" s="6" t="s">
        <v>290</v>
      </c>
      <c r="B193" s="6" t="s">
        <v>291</v>
      </c>
      <c r="C193" s="6" t="s">
        <v>217</v>
      </c>
      <c r="D193" s="7">
        <v>3</v>
      </c>
      <c r="E193" s="13">
        <v>1544</v>
      </c>
      <c r="F193" s="13">
        <f t="shared" ref="F193:F198" si="8">D193*E193</f>
        <v>4632</v>
      </c>
      <c r="G193">
        <v>4900</v>
      </c>
      <c r="H193" s="188">
        <f t="shared" si="5"/>
        <v>14700</v>
      </c>
    </row>
    <row r="194" spans="1:8" x14ac:dyDescent="0.25">
      <c r="A194" s="6" t="s">
        <v>292</v>
      </c>
      <c r="B194" s="6" t="s">
        <v>293</v>
      </c>
      <c r="C194" s="6" t="s">
        <v>217</v>
      </c>
      <c r="D194" s="7">
        <v>5</v>
      </c>
      <c r="E194" s="13">
        <v>1544</v>
      </c>
      <c r="F194" s="13">
        <f t="shared" si="8"/>
        <v>7720</v>
      </c>
      <c r="G194">
        <v>4900</v>
      </c>
      <c r="H194" s="188">
        <f t="shared" si="5"/>
        <v>24500</v>
      </c>
    </row>
    <row r="195" spans="1:8" x14ac:dyDescent="0.25">
      <c r="A195" s="6" t="s">
        <v>294</v>
      </c>
      <c r="B195" s="6" t="s">
        <v>295</v>
      </c>
      <c r="C195" s="6" t="s">
        <v>217</v>
      </c>
      <c r="D195" s="7">
        <v>7</v>
      </c>
      <c r="E195" s="13">
        <v>1544</v>
      </c>
      <c r="F195" s="13">
        <f t="shared" si="8"/>
        <v>10808</v>
      </c>
      <c r="G195">
        <v>4900</v>
      </c>
      <c r="H195" s="188">
        <f t="shared" si="5"/>
        <v>34300</v>
      </c>
    </row>
    <row r="196" spans="1:8" x14ac:dyDescent="0.25">
      <c r="A196" s="6" t="s">
        <v>296</v>
      </c>
      <c r="B196" s="6" t="s">
        <v>297</v>
      </c>
      <c r="C196" s="6" t="s">
        <v>217</v>
      </c>
      <c r="D196" s="7">
        <v>6</v>
      </c>
      <c r="E196" s="13">
        <v>1544</v>
      </c>
      <c r="F196" s="13">
        <f t="shared" si="8"/>
        <v>9264</v>
      </c>
      <c r="G196">
        <v>4900</v>
      </c>
      <c r="H196" s="188">
        <f t="shared" si="5"/>
        <v>29400</v>
      </c>
    </row>
    <row r="197" spans="1:8" x14ac:dyDescent="0.25">
      <c r="A197" s="6" t="s">
        <v>298</v>
      </c>
      <c r="B197" s="6" t="s">
        <v>299</v>
      </c>
      <c r="C197" s="6" t="s">
        <v>217</v>
      </c>
      <c r="D197" s="7">
        <v>20</v>
      </c>
      <c r="E197" s="13">
        <v>1544</v>
      </c>
      <c r="F197" s="13">
        <f t="shared" si="8"/>
        <v>30880</v>
      </c>
      <c r="G197">
        <v>4900</v>
      </c>
      <c r="H197" s="188">
        <f t="shared" si="5"/>
        <v>98000</v>
      </c>
    </row>
    <row r="198" spans="1:8" x14ac:dyDescent="0.25">
      <c r="A198" s="6" t="s">
        <v>300</v>
      </c>
      <c r="B198" s="6" t="s">
        <v>301</v>
      </c>
      <c r="C198" s="6" t="s">
        <v>217</v>
      </c>
      <c r="D198" s="7">
        <v>5</v>
      </c>
      <c r="E198" s="13">
        <v>1544</v>
      </c>
      <c r="F198" s="13">
        <f t="shared" si="8"/>
        <v>7720</v>
      </c>
      <c r="G198">
        <v>4900</v>
      </c>
      <c r="H198" s="188">
        <f t="shared" si="5"/>
        <v>24500</v>
      </c>
    </row>
    <row r="199" spans="1:8" x14ac:dyDescent="0.25">
      <c r="A199" s="6" t="s">
        <v>362</v>
      </c>
      <c r="B199" s="6" t="s">
        <v>363</v>
      </c>
      <c r="C199" s="6" t="s">
        <v>217</v>
      </c>
      <c r="D199" s="7">
        <v>1</v>
      </c>
      <c r="E199" s="13">
        <v>1597.7</v>
      </c>
      <c r="F199" s="13">
        <f>D199*E199</f>
        <v>1597.7</v>
      </c>
      <c r="G199">
        <v>3800</v>
      </c>
      <c r="H199" s="188">
        <f t="shared" si="5"/>
        <v>3800</v>
      </c>
    </row>
    <row r="200" spans="1:8" x14ac:dyDescent="0.25">
      <c r="A200" s="6" t="s">
        <v>302</v>
      </c>
      <c r="B200" s="6" t="s">
        <v>303</v>
      </c>
      <c r="C200" s="6" t="s">
        <v>217</v>
      </c>
      <c r="D200" s="7">
        <v>4</v>
      </c>
      <c r="E200" s="13">
        <v>2977</v>
      </c>
      <c r="F200" s="13">
        <f>D200*E200</f>
        <v>11908</v>
      </c>
      <c r="G200">
        <v>5800</v>
      </c>
      <c r="H200" s="188">
        <f t="shared" si="5"/>
        <v>23200</v>
      </c>
    </row>
    <row r="201" spans="1:8" x14ac:dyDescent="0.25">
      <c r="A201" s="6" t="s">
        <v>304</v>
      </c>
      <c r="B201" s="6" t="s">
        <v>305</v>
      </c>
      <c r="C201" s="6" t="s">
        <v>217</v>
      </c>
      <c r="D201" s="7">
        <v>2</v>
      </c>
      <c r="E201" s="13">
        <v>2977</v>
      </c>
      <c r="F201" s="13">
        <f t="shared" ref="F201:F228" si="9">D201*E201</f>
        <v>5954</v>
      </c>
      <c r="G201">
        <v>5800</v>
      </c>
      <c r="H201" s="188">
        <f t="shared" si="5"/>
        <v>11600</v>
      </c>
    </row>
    <row r="202" spans="1:8" x14ac:dyDescent="0.25">
      <c r="A202" s="6" t="s">
        <v>306</v>
      </c>
      <c r="B202" s="6" t="s">
        <v>307</v>
      </c>
      <c r="C202" s="6" t="s">
        <v>217</v>
      </c>
      <c r="D202" s="7">
        <v>3</v>
      </c>
      <c r="E202" s="13">
        <v>2977</v>
      </c>
      <c r="F202" s="13">
        <f t="shared" si="9"/>
        <v>8931</v>
      </c>
      <c r="G202">
        <v>5800</v>
      </c>
      <c r="H202" s="188">
        <f t="shared" ref="H202:H265" si="10">G202*D202</f>
        <v>17400</v>
      </c>
    </row>
    <row r="203" spans="1:8" x14ac:dyDescent="0.25">
      <c r="A203" s="6" t="s">
        <v>308</v>
      </c>
      <c r="B203" s="6" t="s">
        <v>309</v>
      </c>
      <c r="C203" s="6" t="s">
        <v>217</v>
      </c>
      <c r="D203" s="7">
        <v>6</v>
      </c>
      <c r="E203" s="13">
        <v>2977</v>
      </c>
      <c r="F203" s="13">
        <f t="shared" si="9"/>
        <v>17862</v>
      </c>
      <c r="G203">
        <v>5800</v>
      </c>
      <c r="H203" s="188">
        <f t="shared" si="10"/>
        <v>34800</v>
      </c>
    </row>
    <row r="204" spans="1:8" x14ac:dyDescent="0.25">
      <c r="A204" s="6" t="s">
        <v>310</v>
      </c>
      <c r="B204" s="6" t="s">
        <v>311</v>
      </c>
      <c r="C204" s="6" t="s">
        <v>217</v>
      </c>
      <c r="D204" s="7">
        <v>4</v>
      </c>
      <c r="E204" s="13">
        <v>2977</v>
      </c>
      <c r="F204" s="13">
        <f t="shared" si="9"/>
        <v>11908</v>
      </c>
      <c r="G204">
        <v>5800</v>
      </c>
      <c r="H204" s="188">
        <f t="shared" si="10"/>
        <v>23200</v>
      </c>
    </row>
    <row r="205" spans="1:8" x14ac:dyDescent="0.25">
      <c r="A205" s="6" t="s">
        <v>312</v>
      </c>
      <c r="B205" s="6" t="s">
        <v>313</v>
      </c>
      <c r="C205" s="6" t="s">
        <v>217</v>
      </c>
      <c r="D205" s="7">
        <v>12</v>
      </c>
      <c r="E205" s="13">
        <v>2977</v>
      </c>
      <c r="F205" s="13">
        <f t="shared" si="9"/>
        <v>35724</v>
      </c>
      <c r="G205">
        <v>5800</v>
      </c>
      <c r="H205" s="188">
        <f t="shared" si="10"/>
        <v>69600</v>
      </c>
    </row>
    <row r="206" spans="1:8" x14ac:dyDescent="0.25">
      <c r="A206" s="6" t="s">
        <v>316</v>
      </c>
      <c r="B206" s="6" t="s">
        <v>317</v>
      </c>
      <c r="C206" s="6" t="s">
        <v>217</v>
      </c>
      <c r="D206" s="7">
        <v>2</v>
      </c>
      <c r="E206" s="13">
        <v>2977</v>
      </c>
      <c r="F206" s="13">
        <f t="shared" si="9"/>
        <v>5954</v>
      </c>
      <c r="G206">
        <v>5800</v>
      </c>
      <c r="H206" s="188">
        <f t="shared" si="10"/>
        <v>11600</v>
      </c>
    </row>
    <row r="207" spans="1:8" x14ac:dyDescent="0.25">
      <c r="A207" s="6" t="s">
        <v>318</v>
      </c>
      <c r="B207" s="6" t="s">
        <v>319</v>
      </c>
      <c r="C207" s="6" t="s">
        <v>217</v>
      </c>
      <c r="D207" s="7">
        <v>2</v>
      </c>
      <c r="E207" s="13">
        <v>2977</v>
      </c>
      <c r="F207" s="13">
        <f t="shared" si="9"/>
        <v>5954</v>
      </c>
      <c r="G207">
        <v>5800</v>
      </c>
      <c r="H207" s="188">
        <f t="shared" si="10"/>
        <v>11600</v>
      </c>
    </row>
    <row r="208" spans="1:8" x14ac:dyDescent="0.25">
      <c r="A208" s="6" t="s">
        <v>320</v>
      </c>
      <c r="B208" s="6" t="s">
        <v>321</v>
      </c>
      <c r="C208" s="6" t="s">
        <v>217</v>
      </c>
      <c r="D208" s="7">
        <v>2</v>
      </c>
      <c r="E208" s="13">
        <v>2977</v>
      </c>
      <c r="F208" s="13">
        <f t="shared" si="9"/>
        <v>5954</v>
      </c>
      <c r="G208">
        <v>5800</v>
      </c>
      <c r="H208" s="188">
        <f t="shared" si="10"/>
        <v>11600</v>
      </c>
    </row>
    <row r="209" spans="1:8" x14ac:dyDescent="0.25">
      <c r="A209" s="6" t="s">
        <v>322</v>
      </c>
      <c r="B209" s="6" t="s">
        <v>323</v>
      </c>
      <c r="C209" s="6" t="s">
        <v>217</v>
      </c>
      <c r="D209" s="7">
        <v>6</v>
      </c>
      <c r="E209" s="13">
        <v>2977</v>
      </c>
      <c r="F209" s="13">
        <f t="shared" si="9"/>
        <v>17862</v>
      </c>
      <c r="G209">
        <v>5800</v>
      </c>
      <c r="H209" s="188">
        <f t="shared" si="10"/>
        <v>34800</v>
      </c>
    </row>
    <row r="210" spans="1:8" x14ac:dyDescent="0.25">
      <c r="A210" s="6" t="s">
        <v>324</v>
      </c>
      <c r="B210" s="6" t="s">
        <v>325</v>
      </c>
      <c r="C210" s="6" t="s">
        <v>217</v>
      </c>
      <c r="D210" s="7">
        <v>3</v>
      </c>
      <c r="E210" s="13">
        <v>2977</v>
      </c>
      <c r="F210" s="13">
        <f t="shared" si="9"/>
        <v>8931</v>
      </c>
      <c r="G210">
        <v>5800</v>
      </c>
      <c r="H210" s="188">
        <f t="shared" si="10"/>
        <v>17400</v>
      </c>
    </row>
    <row r="211" spans="1:8" x14ac:dyDescent="0.25">
      <c r="A211" s="6" t="s">
        <v>326</v>
      </c>
      <c r="B211" s="6" t="s">
        <v>327</v>
      </c>
      <c r="C211" s="6" t="s">
        <v>217</v>
      </c>
      <c r="D211" s="7">
        <v>2</v>
      </c>
      <c r="E211" s="13">
        <v>2977</v>
      </c>
      <c r="F211" s="13">
        <f t="shared" si="9"/>
        <v>5954</v>
      </c>
      <c r="G211">
        <v>5800</v>
      </c>
      <c r="H211" s="188">
        <f t="shared" si="10"/>
        <v>11600</v>
      </c>
    </row>
    <row r="212" spans="1:8" x14ac:dyDescent="0.25">
      <c r="A212" s="6" t="s">
        <v>328</v>
      </c>
      <c r="B212" s="6" t="s">
        <v>329</v>
      </c>
      <c r="C212" s="6" t="s">
        <v>217</v>
      </c>
      <c r="D212" s="7">
        <v>4</v>
      </c>
      <c r="E212" s="13">
        <v>2977</v>
      </c>
      <c r="F212" s="13">
        <f t="shared" si="9"/>
        <v>11908</v>
      </c>
      <c r="G212">
        <v>5800</v>
      </c>
      <c r="H212" s="188">
        <f t="shared" si="10"/>
        <v>23200</v>
      </c>
    </row>
    <row r="213" spans="1:8" x14ac:dyDescent="0.25">
      <c r="A213" s="6" t="s">
        <v>364</v>
      </c>
      <c r="B213" s="6" t="s">
        <v>365</v>
      </c>
      <c r="C213" s="6" t="s">
        <v>217</v>
      </c>
      <c r="D213" s="7">
        <v>1</v>
      </c>
      <c r="E213" s="13">
        <v>2977</v>
      </c>
      <c r="F213" s="13">
        <f t="shared" si="9"/>
        <v>2977</v>
      </c>
      <c r="G213">
        <v>6700</v>
      </c>
      <c r="H213" s="188">
        <f t="shared" si="10"/>
        <v>6700</v>
      </c>
    </row>
    <row r="214" spans="1:8" x14ac:dyDescent="0.25">
      <c r="A214" s="6" t="s">
        <v>366</v>
      </c>
      <c r="B214" s="6" t="s">
        <v>367</v>
      </c>
      <c r="C214" s="6" t="s">
        <v>217</v>
      </c>
      <c r="D214" s="7">
        <v>2</v>
      </c>
      <c r="E214" s="13">
        <v>2977</v>
      </c>
      <c r="F214" s="13">
        <f t="shared" si="9"/>
        <v>5954</v>
      </c>
      <c r="G214">
        <v>6700</v>
      </c>
      <c r="H214" s="188">
        <f t="shared" si="10"/>
        <v>13400</v>
      </c>
    </row>
    <row r="215" spans="1:8" x14ac:dyDescent="0.25">
      <c r="A215" s="6" t="s">
        <v>368</v>
      </c>
      <c r="B215" s="6" t="s">
        <v>369</v>
      </c>
      <c r="C215" s="6" t="s">
        <v>217</v>
      </c>
      <c r="D215" s="7">
        <v>3</v>
      </c>
      <c r="E215" s="13">
        <v>1597.7</v>
      </c>
      <c r="F215" s="13">
        <f t="shared" si="9"/>
        <v>4793.1000000000004</v>
      </c>
      <c r="G215">
        <v>4100</v>
      </c>
      <c r="H215" s="188">
        <f t="shared" si="10"/>
        <v>12300</v>
      </c>
    </row>
    <row r="216" spans="1:8" x14ac:dyDescent="0.25">
      <c r="A216" s="6" t="s">
        <v>370</v>
      </c>
      <c r="B216" s="6" t="s">
        <v>371</v>
      </c>
      <c r="C216" s="6" t="s">
        <v>217</v>
      </c>
      <c r="D216" s="7">
        <v>10</v>
      </c>
      <c r="E216" s="13">
        <v>731</v>
      </c>
      <c r="F216" s="13">
        <f t="shared" si="9"/>
        <v>7310</v>
      </c>
      <c r="G216">
        <v>2200</v>
      </c>
      <c r="H216" s="188">
        <f t="shared" si="10"/>
        <v>22000</v>
      </c>
    </row>
    <row r="217" spans="1:8" x14ac:dyDescent="0.25">
      <c r="A217" s="6" t="s">
        <v>356</v>
      </c>
      <c r="B217" s="6" t="s">
        <v>357</v>
      </c>
      <c r="C217" s="6" t="s">
        <v>217</v>
      </c>
      <c r="D217" s="7">
        <v>1</v>
      </c>
      <c r="E217" s="13">
        <v>1277</v>
      </c>
      <c r="F217" s="13">
        <f t="shared" si="9"/>
        <v>1277</v>
      </c>
      <c r="G217">
        <v>3200</v>
      </c>
      <c r="H217" s="188">
        <f t="shared" si="10"/>
        <v>3200</v>
      </c>
    </row>
    <row r="218" spans="1:8" x14ac:dyDescent="0.25">
      <c r="A218" s="6" t="s">
        <v>358</v>
      </c>
      <c r="B218" s="6" t="s">
        <v>359</v>
      </c>
      <c r="C218" s="6" t="s">
        <v>217</v>
      </c>
      <c r="D218" s="7">
        <v>1</v>
      </c>
      <c r="E218" s="13">
        <v>1277</v>
      </c>
      <c r="F218" s="13">
        <f t="shared" si="9"/>
        <v>1277</v>
      </c>
      <c r="G218">
        <v>3200</v>
      </c>
      <c r="H218" s="188">
        <f t="shared" si="10"/>
        <v>3200</v>
      </c>
    </row>
    <row r="219" spans="1:8" x14ac:dyDescent="0.25">
      <c r="A219" s="6" t="s">
        <v>372</v>
      </c>
      <c r="B219" s="6" t="s">
        <v>373</v>
      </c>
      <c r="C219" s="6" t="s">
        <v>217</v>
      </c>
      <c r="D219" s="7">
        <v>6</v>
      </c>
      <c r="E219" s="13">
        <v>731</v>
      </c>
      <c r="F219" s="13">
        <f t="shared" si="9"/>
        <v>4386</v>
      </c>
      <c r="G219">
        <v>2000</v>
      </c>
      <c r="H219" s="188">
        <f t="shared" si="10"/>
        <v>12000</v>
      </c>
    </row>
    <row r="220" spans="1:8" x14ac:dyDescent="0.25">
      <c r="A220" s="6" t="s">
        <v>330</v>
      </c>
      <c r="B220" s="6" t="s">
        <v>331</v>
      </c>
      <c r="C220" s="6" t="s">
        <v>217</v>
      </c>
      <c r="D220" s="7">
        <v>2</v>
      </c>
      <c r="E220" s="13">
        <v>1277</v>
      </c>
      <c r="F220" s="13">
        <f t="shared" si="9"/>
        <v>2554</v>
      </c>
      <c r="G220">
        <v>3200</v>
      </c>
      <c r="H220" s="188">
        <f t="shared" si="10"/>
        <v>6400</v>
      </c>
    </row>
    <row r="221" spans="1:8" x14ac:dyDescent="0.25">
      <c r="A221" s="6" t="s">
        <v>332</v>
      </c>
      <c r="B221" s="6" t="s">
        <v>333</v>
      </c>
      <c r="C221" s="6" t="s">
        <v>217</v>
      </c>
      <c r="D221" s="7">
        <v>2</v>
      </c>
      <c r="E221" s="13">
        <v>1277</v>
      </c>
      <c r="F221" s="13">
        <f t="shared" si="9"/>
        <v>2554</v>
      </c>
      <c r="G221">
        <v>3200</v>
      </c>
      <c r="H221" s="188">
        <f t="shared" si="10"/>
        <v>6400</v>
      </c>
    </row>
    <row r="222" spans="1:8" x14ac:dyDescent="0.25">
      <c r="A222" s="6" t="s">
        <v>338</v>
      </c>
      <c r="B222" s="6" t="s">
        <v>339</v>
      </c>
      <c r="C222" s="6" t="s">
        <v>217</v>
      </c>
      <c r="D222" s="7">
        <v>15</v>
      </c>
      <c r="E222" s="13">
        <v>731</v>
      </c>
      <c r="F222" s="13">
        <f t="shared" si="9"/>
        <v>10965</v>
      </c>
      <c r="G222">
        <v>2000</v>
      </c>
      <c r="H222" s="188">
        <f t="shared" si="10"/>
        <v>30000</v>
      </c>
    </row>
    <row r="223" spans="1:8" x14ac:dyDescent="0.25">
      <c r="A223" s="6" t="s">
        <v>340</v>
      </c>
      <c r="B223" s="6" t="s">
        <v>341</v>
      </c>
      <c r="C223" s="6" t="s">
        <v>217</v>
      </c>
      <c r="D223" s="7">
        <v>8</v>
      </c>
      <c r="E223" s="13">
        <v>1597.7</v>
      </c>
      <c r="F223" s="13">
        <f t="shared" si="9"/>
        <v>12781.6</v>
      </c>
      <c r="G223">
        <v>3800</v>
      </c>
      <c r="H223" s="188">
        <f t="shared" si="10"/>
        <v>30400</v>
      </c>
    </row>
    <row r="224" spans="1:8" x14ac:dyDescent="0.25">
      <c r="A224" s="6" t="s">
        <v>342</v>
      </c>
      <c r="B224" s="6" t="s">
        <v>343</v>
      </c>
      <c r="C224" s="6" t="s">
        <v>217</v>
      </c>
      <c r="D224" s="7">
        <v>6</v>
      </c>
      <c r="E224" s="13">
        <v>2977</v>
      </c>
      <c r="F224" s="13">
        <f t="shared" si="9"/>
        <v>17862</v>
      </c>
      <c r="G224">
        <v>5800</v>
      </c>
      <c r="H224" s="188">
        <f t="shared" si="10"/>
        <v>34800</v>
      </c>
    </row>
    <row r="225" spans="1:8" x14ac:dyDescent="0.25">
      <c r="A225" s="6" t="s">
        <v>344</v>
      </c>
      <c r="B225" s="6" t="s">
        <v>345</v>
      </c>
      <c r="C225" s="6" t="s">
        <v>217</v>
      </c>
      <c r="D225" s="7">
        <v>14</v>
      </c>
      <c r="E225" s="13">
        <v>832</v>
      </c>
      <c r="F225" s="13">
        <f t="shared" si="9"/>
        <v>11648</v>
      </c>
      <c r="G225">
        <v>2700</v>
      </c>
      <c r="H225" s="188">
        <f t="shared" si="10"/>
        <v>37800</v>
      </c>
    </row>
    <row r="226" spans="1:8" x14ac:dyDescent="0.25">
      <c r="A226" s="6" t="s">
        <v>346</v>
      </c>
      <c r="B226" s="6" t="s">
        <v>347</v>
      </c>
      <c r="C226" s="6" t="s">
        <v>217</v>
      </c>
      <c r="D226" s="7">
        <v>4</v>
      </c>
      <c r="E226" s="13">
        <v>1544</v>
      </c>
      <c r="F226" s="13">
        <f t="shared" si="9"/>
        <v>6176</v>
      </c>
      <c r="G226">
        <v>4900</v>
      </c>
      <c r="H226" s="188">
        <f t="shared" si="10"/>
        <v>19600</v>
      </c>
    </row>
    <row r="227" spans="1:8" x14ac:dyDescent="0.25">
      <c r="A227" s="6" t="s">
        <v>374</v>
      </c>
      <c r="B227" s="6" t="s">
        <v>375</v>
      </c>
      <c r="C227" s="6" t="s">
        <v>217</v>
      </c>
      <c r="D227" s="7">
        <v>1</v>
      </c>
      <c r="E227" s="13">
        <v>731</v>
      </c>
      <c r="F227" s="13">
        <f t="shared" si="9"/>
        <v>731</v>
      </c>
      <c r="G227">
        <v>2200</v>
      </c>
      <c r="H227" s="188">
        <f t="shared" si="10"/>
        <v>2200</v>
      </c>
    </row>
    <row r="228" spans="1:8" x14ac:dyDescent="0.25">
      <c r="A228" s="6" t="s">
        <v>376</v>
      </c>
      <c r="B228" s="6" t="s">
        <v>377</v>
      </c>
      <c r="C228" s="6" t="s">
        <v>217</v>
      </c>
      <c r="D228" s="7">
        <v>1</v>
      </c>
      <c r="E228" s="13">
        <v>1597.7</v>
      </c>
      <c r="F228" s="13">
        <f t="shared" si="9"/>
        <v>1597.7</v>
      </c>
      <c r="G228">
        <v>4100</v>
      </c>
      <c r="H228" s="188">
        <f t="shared" si="10"/>
        <v>4100</v>
      </c>
    </row>
    <row r="229" spans="1:8" x14ac:dyDescent="0.25">
      <c r="A229" s="89">
        <v>45566</v>
      </c>
      <c r="B229" s="93"/>
      <c r="C229" s="93"/>
      <c r="D229" s="93"/>
      <c r="E229" s="94"/>
      <c r="F229" s="94"/>
      <c r="H229" s="188">
        <f t="shared" si="10"/>
        <v>0</v>
      </c>
    </row>
    <row r="230" spans="1:8" x14ac:dyDescent="0.25">
      <c r="A230" s="6" t="s">
        <v>215</v>
      </c>
      <c r="B230" s="6" t="s">
        <v>216</v>
      </c>
      <c r="C230" s="6" t="s">
        <v>217</v>
      </c>
      <c r="D230" s="7">
        <v>18</v>
      </c>
      <c r="E230" s="13">
        <v>731</v>
      </c>
      <c r="F230" s="13">
        <f>E230*D230</f>
        <v>13158</v>
      </c>
      <c r="G230">
        <v>2000</v>
      </c>
      <c r="H230" s="188">
        <f t="shared" si="10"/>
        <v>36000</v>
      </c>
    </row>
    <row r="231" spans="1:8" x14ac:dyDescent="0.25">
      <c r="A231" s="6" t="s">
        <v>218</v>
      </c>
      <c r="B231" s="6" t="s">
        <v>219</v>
      </c>
      <c r="C231" s="6" t="s">
        <v>217</v>
      </c>
      <c r="D231" s="7">
        <v>20</v>
      </c>
      <c r="E231" s="13">
        <v>731</v>
      </c>
      <c r="F231" s="13">
        <f t="shared" ref="F231:F294" si="11">E231*D231</f>
        <v>14620</v>
      </c>
      <c r="G231">
        <v>2000</v>
      </c>
      <c r="H231" s="188">
        <f t="shared" si="10"/>
        <v>40000</v>
      </c>
    </row>
    <row r="232" spans="1:8" x14ac:dyDescent="0.25">
      <c r="A232" s="6" t="s">
        <v>220</v>
      </c>
      <c r="B232" s="6" t="s">
        <v>221</v>
      </c>
      <c r="C232" s="6" t="s">
        <v>217</v>
      </c>
      <c r="D232" s="7">
        <v>9</v>
      </c>
      <c r="E232" s="13">
        <v>731</v>
      </c>
      <c r="F232" s="13">
        <f t="shared" si="11"/>
        <v>6579</v>
      </c>
      <c r="G232">
        <v>2000</v>
      </c>
      <c r="H232" s="188">
        <f t="shared" si="10"/>
        <v>18000</v>
      </c>
    </row>
    <row r="233" spans="1:8" x14ac:dyDescent="0.25">
      <c r="A233" s="6" t="s">
        <v>222</v>
      </c>
      <c r="B233" s="6" t="s">
        <v>223</v>
      </c>
      <c r="C233" s="6" t="s">
        <v>217</v>
      </c>
      <c r="D233" s="7">
        <v>25</v>
      </c>
      <c r="E233" s="13">
        <v>731</v>
      </c>
      <c r="F233" s="13">
        <f t="shared" si="11"/>
        <v>18275</v>
      </c>
      <c r="G233">
        <v>2000</v>
      </c>
      <c r="H233" s="188">
        <f t="shared" si="10"/>
        <v>50000</v>
      </c>
    </row>
    <row r="234" spans="1:8" x14ac:dyDescent="0.25">
      <c r="A234" s="6" t="s">
        <v>224</v>
      </c>
      <c r="B234" s="6" t="s">
        <v>225</v>
      </c>
      <c r="C234" s="6" t="s">
        <v>217</v>
      </c>
      <c r="D234" s="7">
        <v>19</v>
      </c>
      <c r="E234" s="13">
        <v>731</v>
      </c>
      <c r="F234" s="13">
        <f t="shared" si="11"/>
        <v>13889</v>
      </c>
      <c r="G234">
        <v>2000</v>
      </c>
      <c r="H234" s="188">
        <f t="shared" si="10"/>
        <v>38000</v>
      </c>
    </row>
    <row r="235" spans="1:8" x14ac:dyDescent="0.25">
      <c r="A235" s="6" t="s">
        <v>226</v>
      </c>
      <c r="B235" s="6" t="s">
        <v>227</v>
      </c>
      <c r="C235" s="6" t="s">
        <v>217</v>
      </c>
      <c r="D235" s="7">
        <v>21</v>
      </c>
      <c r="E235" s="13">
        <v>731</v>
      </c>
      <c r="F235" s="13">
        <f t="shared" si="11"/>
        <v>15351</v>
      </c>
      <c r="G235">
        <v>2000</v>
      </c>
      <c r="H235" s="188">
        <f t="shared" si="10"/>
        <v>42000</v>
      </c>
    </row>
    <row r="236" spans="1:8" x14ac:dyDescent="0.25">
      <c r="A236" s="6" t="s">
        <v>228</v>
      </c>
      <c r="B236" s="6" t="s">
        <v>229</v>
      </c>
      <c r="C236" s="6" t="s">
        <v>217</v>
      </c>
      <c r="D236" s="7">
        <v>15</v>
      </c>
      <c r="E236" s="13">
        <v>731</v>
      </c>
      <c r="F236" s="13">
        <f t="shared" si="11"/>
        <v>10965</v>
      </c>
      <c r="G236">
        <v>2000</v>
      </c>
      <c r="H236" s="188">
        <f t="shared" si="10"/>
        <v>30000</v>
      </c>
    </row>
    <row r="237" spans="1:8" x14ac:dyDescent="0.25">
      <c r="A237" s="6" t="s">
        <v>230</v>
      </c>
      <c r="B237" s="6" t="s">
        <v>231</v>
      </c>
      <c r="C237" s="6" t="s">
        <v>217</v>
      </c>
      <c r="D237" s="7">
        <v>26</v>
      </c>
      <c r="E237" s="13">
        <v>731</v>
      </c>
      <c r="F237" s="13">
        <f t="shared" si="11"/>
        <v>19006</v>
      </c>
      <c r="G237">
        <v>2000</v>
      </c>
      <c r="H237" s="188">
        <f t="shared" si="10"/>
        <v>52000</v>
      </c>
    </row>
    <row r="238" spans="1:8" x14ac:dyDescent="0.25">
      <c r="A238" s="6" t="s">
        <v>232</v>
      </c>
      <c r="B238" s="6" t="s">
        <v>233</v>
      </c>
      <c r="C238" s="6" t="s">
        <v>217</v>
      </c>
      <c r="D238" s="7">
        <v>18</v>
      </c>
      <c r="E238" s="13">
        <v>731</v>
      </c>
      <c r="F238" s="13">
        <f t="shared" si="11"/>
        <v>13158</v>
      </c>
      <c r="G238">
        <v>2000</v>
      </c>
      <c r="H238" s="188">
        <f t="shared" si="10"/>
        <v>36000</v>
      </c>
    </row>
    <row r="239" spans="1:8" x14ac:dyDescent="0.25">
      <c r="A239" s="6" t="s">
        <v>234</v>
      </c>
      <c r="B239" s="6" t="s">
        <v>235</v>
      </c>
      <c r="C239" s="6" t="s">
        <v>217</v>
      </c>
      <c r="D239" s="7">
        <v>17</v>
      </c>
      <c r="E239" s="13">
        <v>731</v>
      </c>
      <c r="F239" s="13">
        <f t="shared" si="11"/>
        <v>12427</v>
      </c>
      <c r="G239">
        <v>2000</v>
      </c>
      <c r="H239" s="188">
        <f t="shared" si="10"/>
        <v>34000</v>
      </c>
    </row>
    <row r="240" spans="1:8" x14ac:dyDescent="0.25">
      <c r="A240" s="6" t="s">
        <v>236</v>
      </c>
      <c r="B240" s="6" t="s">
        <v>237</v>
      </c>
      <c r="C240" s="6" t="s">
        <v>217</v>
      </c>
      <c r="D240" s="7">
        <v>25</v>
      </c>
      <c r="E240" s="13">
        <v>731</v>
      </c>
      <c r="F240" s="13">
        <f t="shared" si="11"/>
        <v>18275</v>
      </c>
      <c r="G240">
        <v>2000</v>
      </c>
      <c r="H240" s="188">
        <f t="shared" si="10"/>
        <v>50000</v>
      </c>
    </row>
    <row r="241" spans="1:8" x14ac:dyDescent="0.25">
      <c r="A241" s="6" t="s">
        <v>238</v>
      </c>
      <c r="B241" s="6" t="s">
        <v>239</v>
      </c>
      <c r="C241" s="6" t="s">
        <v>217</v>
      </c>
      <c r="D241" s="7">
        <v>10</v>
      </c>
      <c r="E241" s="13">
        <v>731</v>
      </c>
      <c r="F241" s="13">
        <f t="shared" si="11"/>
        <v>7310</v>
      </c>
      <c r="G241">
        <v>2000</v>
      </c>
      <c r="H241" s="188">
        <f t="shared" si="10"/>
        <v>20000</v>
      </c>
    </row>
    <row r="242" spans="1:8" x14ac:dyDescent="0.25">
      <c r="A242" s="6" t="s">
        <v>240</v>
      </c>
      <c r="B242" s="6" t="s">
        <v>241</v>
      </c>
      <c r="C242" s="6" t="s">
        <v>217</v>
      </c>
      <c r="D242" s="7">
        <v>4</v>
      </c>
      <c r="E242" s="13">
        <v>731</v>
      </c>
      <c r="F242" s="13">
        <f t="shared" si="11"/>
        <v>2924</v>
      </c>
      <c r="G242">
        <v>2000</v>
      </c>
      <c r="H242" s="188">
        <f t="shared" si="10"/>
        <v>8000</v>
      </c>
    </row>
    <row r="243" spans="1:8" x14ac:dyDescent="0.25">
      <c r="A243" s="6" t="s">
        <v>242</v>
      </c>
      <c r="B243" s="6" t="s">
        <v>243</v>
      </c>
      <c r="C243" s="6" t="s">
        <v>217</v>
      </c>
      <c r="D243" s="7">
        <v>20</v>
      </c>
      <c r="E243" s="13">
        <v>731</v>
      </c>
      <c r="F243" s="13">
        <f t="shared" si="11"/>
        <v>14620</v>
      </c>
      <c r="G243">
        <v>2000</v>
      </c>
      <c r="H243" s="188">
        <f t="shared" si="10"/>
        <v>40000</v>
      </c>
    </row>
    <row r="244" spans="1:8" x14ac:dyDescent="0.25">
      <c r="A244" s="6" t="s">
        <v>244</v>
      </c>
      <c r="B244" s="6" t="s">
        <v>245</v>
      </c>
      <c r="C244" s="6" t="s">
        <v>217</v>
      </c>
      <c r="D244" s="7">
        <v>18</v>
      </c>
      <c r="E244" s="13">
        <v>1597.7</v>
      </c>
      <c r="F244" s="13">
        <f t="shared" si="11"/>
        <v>28758.600000000002</v>
      </c>
      <c r="G244">
        <v>3800</v>
      </c>
      <c r="H244" s="188">
        <f t="shared" si="10"/>
        <v>68400</v>
      </c>
    </row>
    <row r="245" spans="1:8" x14ac:dyDescent="0.25">
      <c r="A245" s="6" t="s">
        <v>378</v>
      </c>
      <c r="B245" s="6" t="s">
        <v>379</v>
      </c>
      <c r="C245" s="6" t="s">
        <v>217</v>
      </c>
      <c r="D245" s="7">
        <v>1</v>
      </c>
      <c r="E245" s="13">
        <v>1597.7</v>
      </c>
      <c r="F245" s="13">
        <f t="shared" si="11"/>
        <v>1597.7</v>
      </c>
      <c r="G245">
        <v>3800</v>
      </c>
      <c r="H245" s="188">
        <f t="shared" si="10"/>
        <v>3800</v>
      </c>
    </row>
    <row r="246" spans="1:8" x14ac:dyDescent="0.25">
      <c r="A246" s="6" t="s">
        <v>246</v>
      </c>
      <c r="B246" s="6" t="s">
        <v>247</v>
      </c>
      <c r="C246" s="6" t="s">
        <v>217</v>
      </c>
      <c r="D246" s="7">
        <v>18</v>
      </c>
      <c r="E246" s="13">
        <v>1597.7</v>
      </c>
      <c r="F246" s="13">
        <f t="shared" si="11"/>
        <v>28758.600000000002</v>
      </c>
      <c r="G246">
        <v>3800</v>
      </c>
      <c r="H246" s="188">
        <f t="shared" si="10"/>
        <v>68400</v>
      </c>
    </row>
    <row r="247" spans="1:8" x14ac:dyDescent="0.25">
      <c r="A247" s="6" t="s">
        <v>248</v>
      </c>
      <c r="B247" s="6" t="s">
        <v>249</v>
      </c>
      <c r="C247" s="6" t="s">
        <v>217</v>
      </c>
      <c r="D247" s="7">
        <v>6</v>
      </c>
      <c r="E247" s="13">
        <v>1597.7</v>
      </c>
      <c r="F247" s="13">
        <f t="shared" si="11"/>
        <v>9586.2000000000007</v>
      </c>
      <c r="G247">
        <v>3800</v>
      </c>
      <c r="H247" s="188">
        <f t="shared" si="10"/>
        <v>22800</v>
      </c>
    </row>
    <row r="248" spans="1:8" x14ac:dyDescent="0.25">
      <c r="A248" s="6" t="s">
        <v>250</v>
      </c>
      <c r="B248" s="6" t="s">
        <v>251</v>
      </c>
      <c r="C248" s="6" t="s">
        <v>217</v>
      </c>
      <c r="D248" s="7">
        <v>23</v>
      </c>
      <c r="E248" s="13">
        <v>1597.7</v>
      </c>
      <c r="F248" s="13">
        <f t="shared" si="11"/>
        <v>36747.1</v>
      </c>
      <c r="G248">
        <v>3800</v>
      </c>
      <c r="H248" s="188">
        <f t="shared" si="10"/>
        <v>87400</v>
      </c>
    </row>
    <row r="249" spans="1:8" x14ac:dyDescent="0.25">
      <c r="A249" s="6" t="s">
        <v>252</v>
      </c>
      <c r="B249" s="6" t="s">
        <v>253</v>
      </c>
      <c r="C249" s="6" t="s">
        <v>217</v>
      </c>
      <c r="D249" s="7">
        <v>21</v>
      </c>
      <c r="E249" s="13">
        <v>1597.7</v>
      </c>
      <c r="F249" s="13">
        <f t="shared" si="11"/>
        <v>33551.700000000004</v>
      </c>
      <c r="G249">
        <v>3800</v>
      </c>
      <c r="H249" s="188">
        <f t="shared" si="10"/>
        <v>79800</v>
      </c>
    </row>
    <row r="250" spans="1:8" x14ac:dyDescent="0.25">
      <c r="A250" s="6" t="s">
        <v>254</v>
      </c>
      <c r="B250" s="6" t="s">
        <v>255</v>
      </c>
      <c r="C250" s="6" t="s">
        <v>217</v>
      </c>
      <c r="D250" s="7">
        <v>21</v>
      </c>
      <c r="E250" s="13">
        <v>1597.7</v>
      </c>
      <c r="F250" s="13">
        <f t="shared" si="11"/>
        <v>33551.700000000004</v>
      </c>
      <c r="G250">
        <v>3800</v>
      </c>
      <c r="H250" s="188">
        <f t="shared" si="10"/>
        <v>79800</v>
      </c>
    </row>
    <row r="251" spans="1:8" x14ac:dyDescent="0.25">
      <c r="A251" s="6" t="s">
        <v>256</v>
      </c>
      <c r="B251" s="6" t="s">
        <v>257</v>
      </c>
      <c r="C251" s="6" t="s">
        <v>217</v>
      </c>
      <c r="D251" s="7">
        <v>13</v>
      </c>
      <c r="E251" s="13">
        <v>1597.7</v>
      </c>
      <c r="F251" s="13">
        <f t="shared" si="11"/>
        <v>20770.100000000002</v>
      </c>
      <c r="G251">
        <v>3800</v>
      </c>
      <c r="H251" s="188">
        <f t="shared" si="10"/>
        <v>49400</v>
      </c>
    </row>
    <row r="252" spans="1:8" x14ac:dyDescent="0.25">
      <c r="A252" s="6" t="s">
        <v>258</v>
      </c>
      <c r="B252" s="6" t="s">
        <v>259</v>
      </c>
      <c r="C252" s="6" t="s">
        <v>217</v>
      </c>
      <c r="D252" s="7">
        <v>25</v>
      </c>
      <c r="E252" s="13">
        <v>1597.7</v>
      </c>
      <c r="F252" s="13">
        <f t="shared" si="11"/>
        <v>39942.5</v>
      </c>
      <c r="G252">
        <v>3800</v>
      </c>
      <c r="H252" s="188">
        <f t="shared" si="10"/>
        <v>95000</v>
      </c>
    </row>
    <row r="253" spans="1:8" x14ac:dyDescent="0.25">
      <c r="A253" s="6" t="s">
        <v>260</v>
      </c>
      <c r="B253" s="6" t="s">
        <v>261</v>
      </c>
      <c r="C253" s="6" t="s">
        <v>217</v>
      </c>
      <c r="D253" s="7">
        <v>14</v>
      </c>
      <c r="E253" s="13">
        <v>1597.7</v>
      </c>
      <c r="F253" s="13">
        <f t="shared" si="11"/>
        <v>22367.8</v>
      </c>
      <c r="G253">
        <v>3800</v>
      </c>
      <c r="H253" s="188">
        <f t="shared" si="10"/>
        <v>53200</v>
      </c>
    </row>
    <row r="254" spans="1:8" x14ac:dyDescent="0.25">
      <c r="A254" s="6" t="s">
        <v>262</v>
      </c>
      <c r="B254" s="6" t="s">
        <v>263</v>
      </c>
      <c r="C254" s="6" t="s">
        <v>217</v>
      </c>
      <c r="D254" s="7">
        <v>19</v>
      </c>
      <c r="E254" s="13">
        <v>1597.7</v>
      </c>
      <c r="F254" s="13">
        <f t="shared" si="11"/>
        <v>30356.3</v>
      </c>
      <c r="G254">
        <v>3800</v>
      </c>
      <c r="H254" s="188">
        <f t="shared" si="10"/>
        <v>72200</v>
      </c>
    </row>
    <row r="255" spans="1:8" x14ac:dyDescent="0.25">
      <c r="A255" s="6" t="s">
        <v>264</v>
      </c>
      <c r="B255" s="6" t="s">
        <v>265</v>
      </c>
      <c r="C255" s="6" t="s">
        <v>217</v>
      </c>
      <c r="D255" s="7">
        <v>24</v>
      </c>
      <c r="E255" s="13">
        <v>1597.7</v>
      </c>
      <c r="F255" s="13">
        <f t="shared" si="11"/>
        <v>38344.800000000003</v>
      </c>
      <c r="G255">
        <v>3800</v>
      </c>
      <c r="H255" s="188">
        <f t="shared" si="10"/>
        <v>91200</v>
      </c>
    </row>
    <row r="256" spans="1:8" x14ac:dyDescent="0.25">
      <c r="A256" s="6" t="s">
        <v>266</v>
      </c>
      <c r="B256" s="6" t="s">
        <v>267</v>
      </c>
      <c r="C256" s="6" t="s">
        <v>217</v>
      </c>
      <c r="D256" s="7">
        <v>13</v>
      </c>
      <c r="E256" s="13">
        <v>1597.7</v>
      </c>
      <c r="F256" s="13">
        <f t="shared" si="11"/>
        <v>20770.100000000002</v>
      </c>
      <c r="G256">
        <v>3800</v>
      </c>
      <c r="H256" s="188">
        <f t="shared" si="10"/>
        <v>49400</v>
      </c>
    </row>
    <row r="257" spans="1:8" x14ac:dyDescent="0.25">
      <c r="A257" s="6" t="s">
        <v>268</v>
      </c>
      <c r="B257" s="6" t="s">
        <v>269</v>
      </c>
      <c r="C257" s="6" t="s">
        <v>217</v>
      </c>
      <c r="D257" s="7">
        <v>3</v>
      </c>
      <c r="E257" s="13">
        <v>1597.7</v>
      </c>
      <c r="F257" s="13">
        <f t="shared" si="11"/>
        <v>4793.1000000000004</v>
      </c>
      <c r="G257">
        <v>3800</v>
      </c>
      <c r="H257" s="188">
        <f t="shared" si="10"/>
        <v>11400</v>
      </c>
    </row>
    <row r="258" spans="1:8" x14ac:dyDescent="0.25">
      <c r="A258" s="6" t="s">
        <v>270</v>
      </c>
      <c r="B258" s="6" t="s">
        <v>271</v>
      </c>
      <c r="C258" s="6" t="s">
        <v>217</v>
      </c>
      <c r="D258" s="7">
        <v>18</v>
      </c>
      <c r="E258" s="13">
        <v>1597.7</v>
      </c>
      <c r="F258" s="13">
        <f t="shared" si="11"/>
        <v>28758.600000000002</v>
      </c>
      <c r="G258">
        <v>3800</v>
      </c>
      <c r="H258" s="188">
        <f t="shared" si="10"/>
        <v>68400</v>
      </c>
    </row>
    <row r="259" spans="1:8" x14ac:dyDescent="0.25">
      <c r="A259" s="6" t="s">
        <v>272</v>
      </c>
      <c r="B259" s="6" t="s">
        <v>273</v>
      </c>
      <c r="C259" s="6" t="s">
        <v>217</v>
      </c>
      <c r="D259" s="7">
        <v>17</v>
      </c>
      <c r="E259" s="13">
        <v>832</v>
      </c>
      <c r="F259" s="13">
        <f t="shared" si="11"/>
        <v>14144</v>
      </c>
      <c r="G259">
        <v>2700</v>
      </c>
      <c r="H259" s="188">
        <f t="shared" si="10"/>
        <v>45900</v>
      </c>
    </row>
    <row r="260" spans="1:8" x14ac:dyDescent="0.25">
      <c r="A260" s="6" t="s">
        <v>274</v>
      </c>
      <c r="B260" s="6" t="s">
        <v>275</v>
      </c>
      <c r="C260" s="6" t="s">
        <v>217</v>
      </c>
      <c r="D260" s="7">
        <v>28</v>
      </c>
      <c r="E260" s="13">
        <v>832</v>
      </c>
      <c r="F260" s="13">
        <f t="shared" si="11"/>
        <v>23296</v>
      </c>
      <c r="G260">
        <v>2700</v>
      </c>
      <c r="H260" s="188">
        <f t="shared" si="10"/>
        <v>75600</v>
      </c>
    </row>
    <row r="261" spans="1:8" x14ac:dyDescent="0.25">
      <c r="A261" s="6" t="s">
        <v>276</v>
      </c>
      <c r="B261" s="6" t="s">
        <v>277</v>
      </c>
      <c r="C261" s="6" t="s">
        <v>217</v>
      </c>
      <c r="D261" s="7">
        <v>18</v>
      </c>
      <c r="E261" s="13">
        <v>832</v>
      </c>
      <c r="F261" s="13">
        <f t="shared" si="11"/>
        <v>14976</v>
      </c>
      <c r="G261">
        <v>2700</v>
      </c>
      <c r="H261" s="188">
        <f t="shared" si="10"/>
        <v>48600</v>
      </c>
    </row>
    <row r="262" spans="1:8" x14ac:dyDescent="0.25">
      <c r="A262" s="6" t="s">
        <v>278</v>
      </c>
      <c r="B262" s="6" t="s">
        <v>279</v>
      </c>
      <c r="C262" s="6" t="s">
        <v>217</v>
      </c>
      <c r="D262" s="7">
        <v>16</v>
      </c>
      <c r="E262" s="13">
        <v>832</v>
      </c>
      <c r="F262" s="13">
        <f t="shared" si="11"/>
        <v>13312</v>
      </c>
      <c r="G262">
        <v>2700</v>
      </c>
      <c r="H262" s="188">
        <f t="shared" si="10"/>
        <v>43200</v>
      </c>
    </row>
    <row r="263" spans="1:8" x14ac:dyDescent="0.25">
      <c r="A263" s="6" t="s">
        <v>280</v>
      </c>
      <c r="B263" s="6" t="s">
        <v>281</v>
      </c>
      <c r="C263" s="6" t="s">
        <v>217</v>
      </c>
      <c r="D263" s="7">
        <v>36</v>
      </c>
      <c r="E263" s="13">
        <v>832</v>
      </c>
      <c r="F263" s="13">
        <f t="shared" si="11"/>
        <v>29952</v>
      </c>
      <c r="G263">
        <v>2700</v>
      </c>
      <c r="H263" s="188">
        <f t="shared" si="10"/>
        <v>97200</v>
      </c>
    </row>
    <row r="264" spans="1:8" x14ac:dyDescent="0.25">
      <c r="A264" s="6" t="s">
        <v>282</v>
      </c>
      <c r="B264" s="6" t="s">
        <v>283</v>
      </c>
      <c r="C264" s="6" t="s">
        <v>217</v>
      </c>
      <c r="D264" s="7">
        <v>37</v>
      </c>
      <c r="E264" s="13">
        <v>832</v>
      </c>
      <c r="F264" s="13">
        <f t="shared" si="11"/>
        <v>30784</v>
      </c>
      <c r="G264">
        <v>2700</v>
      </c>
      <c r="H264" s="188">
        <f t="shared" si="10"/>
        <v>99900</v>
      </c>
    </row>
    <row r="265" spans="1:8" x14ac:dyDescent="0.25">
      <c r="A265" s="6" t="s">
        <v>284</v>
      </c>
      <c r="B265" s="6" t="s">
        <v>285</v>
      </c>
      <c r="C265" s="6" t="s">
        <v>217</v>
      </c>
      <c r="D265" s="7">
        <v>20</v>
      </c>
      <c r="E265" s="13">
        <v>832</v>
      </c>
      <c r="F265" s="13">
        <f t="shared" si="11"/>
        <v>16640</v>
      </c>
      <c r="G265">
        <v>2700</v>
      </c>
      <c r="H265" s="188">
        <f t="shared" si="10"/>
        <v>54000</v>
      </c>
    </row>
    <row r="266" spans="1:8" x14ac:dyDescent="0.25">
      <c r="A266" s="6" t="s">
        <v>286</v>
      </c>
      <c r="B266" s="6" t="s">
        <v>287</v>
      </c>
      <c r="C266" s="6" t="s">
        <v>217</v>
      </c>
      <c r="D266" s="7">
        <v>13</v>
      </c>
      <c r="E266" s="13">
        <v>832</v>
      </c>
      <c r="F266" s="13">
        <f t="shared" si="11"/>
        <v>10816</v>
      </c>
      <c r="G266">
        <v>2700</v>
      </c>
      <c r="H266" s="188">
        <f t="shared" ref="H266:H329" si="12">G266*D266</f>
        <v>35100</v>
      </c>
    </row>
    <row r="267" spans="1:8" x14ac:dyDescent="0.25">
      <c r="A267" s="6" t="s">
        <v>288</v>
      </c>
      <c r="B267" s="6" t="s">
        <v>289</v>
      </c>
      <c r="C267" s="6" t="s">
        <v>217</v>
      </c>
      <c r="D267" s="7">
        <v>6</v>
      </c>
      <c r="E267" s="13">
        <v>1544</v>
      </c>
      <c r="F267" s="13">
        <f t="shared" si="11"/>
        <v>9264</v>
      </c>
      <c r="G267">
        <v>4900</v>
      </c>
      <c r="H267" s="188">
        <f t="shared" si="12"/>
        <v>29400</v>
      </c>
    </row>
    <row r="268" spans="1:8" x14ac:dyDescent="0.25">
      <c r="A268" s="6" t="s">
        <v>290</v>
      </c>
      <c r="B268" s="6" t="s">
        <v>291</v>
      </c>
      <c r="C268" s="6" t="s">
        <v>217</v>
      </c>
      <c r="D268" s="7">
        <v>10</v>
      </c>
      <c r="E268" s="13">
        <v>1544</v>
      </c>
      <c r="F268" s="13">
        <f t="shared" si="11"/>
        <v>15440</v>
      </c>
      <c r="G268">
        <v>4900</v>
      </c>
      <c r="H268" s="188">
        <f t="shared" si="12"/>
        <v>49000</v>
      </c>
    </row>
    <row r="269" spans="1:8" x14ac:dyDescent="0.25">
      <c r="A269" s="6" t="s">
        <v>292</v>
      </c>
      <c r="B269" s="6" t="s">
        <v>293</v>
      </c>
      <c r="C269" s="6" t="s">
        <v>217</v>
      </c>
      <c r="D269" s="7">
        <v>9</v>
      </c>
      <c r="E269" s="13">
        <v>1544</v>
      </c>
      <c r="F269" s="13">
        <f t="shared" si="11"/>
        <v>13896</v>
      </c>
      <c r="G269">
        <v>4900</v>
      </c>
      <c r="H269" s="188">
        <f t="shared" si="12"/>
        <v>44100</v>
      </c>
    </row>
    <row r="270" spans="1:8" x14ac:dyDescent="0.25">
      <c r="A270" s="6" t="s">
        <v>294</v>
      </c>
      <c r="B270" s="6" t="s">
        <v>295</v>
      </c>
      <c r="C270" s="6" t="s">
        <v>217</v>
      </c>
      <c r="D270" s="7">
        <v>8</v>
      </c>
      <c r="E270" s="13">
        <v>1544</v>
      </c>
      <c r="F270" s="13">
        <f t="shared" si="11"/>
        <v>12352</v>
      </c>
      <c r="G270">
        <v>4900</v>
      </c>
      <c r="H270" s="188">
        <f t="shared" si="12"/>
        <v>39200</v>
      </c>
    </row>
    <row r="271" spans="1:8" x14ac:dyDescent="0.25">
      <c r="A271" s="6" t="s">
        <v>296</v>
      </c>
      <c r="B271" s="6" t="s">
        <v>297</v>
      </c>
      <c r="C271" s="6" t="s">
        <v>217</v>
      </c>
      <c r="D271" s="7">
        <v>2</v>
      </c>
      <c r="E271" s="13">
        <v>1544</v>
      </c>
      <c r="F271" s="13">
        <f t="shared" si="11"/>
        <v>3088</v>
      </c>
      <c r="G271">
        <v>4900</v>
      </c>
      <c r="H271" s="188">
        <f t="shared" si="12"/>
        <v>9800</v>
      </c>
    </row>
    <row r="272" spans="1:8" x14ac:dyDescent="0.25">
      <c r="A272" s="6" t="s">
        <v>298</v>
      </c>
      <c r="B272" s="6" t="s">
        <v>299</v>
      </c>
      <c r="C272" s="6" t="s">
        <v>217</v>
      </c>
      <c r="D272" s="7">
        <v>8</v>
      </c>
      <c r="E272" s="13">
        <v>1544</v>
      </c>
      <c r="F272" s="13">
        <f t="shared" si="11"/>
        <v>12352</v>
      </c>
      <c r="G272">
        <v>4900</v>
      </c>
      <c r="H272" s="188">
        <f t="shared" si="12"/>
        <v>39200</v>
      </c>
    </row>
    <row r="273" spans="1:8" x14ac:dyDescent="0.25">
      <c r="A273" s="6" t="s">
        <v>300</v>
      </c>
      <c r="B273" s="6" t="s">
        <v>301</v>
      </c>
      <c r="C273" s="6" t="s">
        <v>217</v>
      </c>
      <c r="D273" s="7">
        <v>8</v>
      </c>
      <c r="E273" s="13">
        <v>1544</v>
      </c>
      <c r="F273" s="13">
        <f t="shared" si="11"/>
        <v>12352</v>
      </c>
      <c r="G273">
        <v>4900</v>
      </c>
      <c r="H273" s="188">
        <f t="shared" si="12"/>
        <v>39200</v>
      </c>
    </row>
    <row r="274" spans="1:8" x14ac:dyDescent="0.25">
      <c r="A274" s="6" t="s">
        <v>362</v>
      </c>
      <c r="B274" s="6" t="s">
        <v>363</v>
      </c>
      <c r="C274" s="6" t="s">
        <v>217</v>
      </c>
      <c r="D274" s="7">
        <v>4</v>
      </c>
      <c r="E274" s="13">
        <v>1597.7</v>
      </c>
      <c r="F274" s="13">
        <f t="shared" si="11"/>
        <v>6390.8</v>
      </c>
      <c r="G274">
        <v>3800</v>
      </c>
      <c r="H274" s="188">
        <f t="shared" si="12"/>
        <v>15200</v>
      </c>
    </row>
    <row r="275" spans="1:8" x14ac:dyDescent="0.25">
      <c r="A275" s="6" t="s">
        <v>380</v>
      </c>
      <c r="B275" s="6" t="s">
        <v>381</v>
      </c>
      <c r="C275" s="6" t="s">
        <v>217</v>
      </c>
      <c r="D275" s="7">
        <v>9</v>
      </c>
      <c r="E275" s="13">
        <v>731</v>
      </c>
      <c r="F275" s="13">
        <f t="shared" si="11"/>
        <v>6579</v>
      </c>
      <c r="G275">
        <v>2000</v>
      </c>
      <c r="H275" s="188">
        <f t="shared" si="12"/>
        <v>18000</v>
      </c>
    </row>
    <row r="276" spans="1:8" x14ac:dyDescent="0.25">
      <c r="A276" s="6" t="s">
        <v>302</v>
      </c>
      <c r="B276" s="6" t="s">
        <v>303</v>
      </c>
      <c r="C276" s="6" t="s">
        <v>217</v>
      </c>
      <c r="D276" s="7">
        <v>6</v>
      </c>
      <c r="E276" s="13">
        <v>2977</v>
      </c>
      <c r="F276" s="13">
        <f t="shared" si="11"/>
        <v>17862</v>
      </c>
      <c r="G276">
        <v>5800</v>
      </c>
      <c r="H276" s="188">
        <f t="shared" si="12"/>
        <v>34800</v>
      </c>
    </row>
    <row r="277" spans="1:8" x14ac:dyDescent="0.25">
      <c r="A277" s="6" t="s">
        <v>304</v>
      </c>
      <c r="B277" s="6" t="s">
        <v>305</v>
      </c>
      <c r="C277" s="6" t="s">
        <v>217</v>
      </c>
      <c r="D277" s="7">
        <v>4</v>
      </c>
      <c r="E277" s="13">
        <v>2977</v>
      </c>
      <c r="F277" s="13">
        <f t="shared" si="11"/>
        <v>11908</v>
      </c>
      <c r="G277">
        <v>5800</v>
      </c>
      <c r="H277" s="188">
        <f t="shared" si="12"/>
        <v>23200</v>
      </c>
    </row>
    <row r="278" spans="1:8" x14ac:dyDescent="0.25">
      <c r="A278" s="6" t="s">
        <v>306</v>
      </c>
      <c r="B278" s="6" t="s">
        <v>307</v>
      </c>
      <c r="C278" s="6" t="s">
        <v>217</v>
      </c>
      <c r="D278" s="7">
        <v>5</v>
      </c>
      <c r="E278" s="13">
        <v>2977</v>
      </c>
      <c r="F278" s="13">
        <f t="shared" si="11"/>
        <v>14885</v>
      </c>
      <c r="G278">
        <v>5800</v>
      </c>
      <c r="H278" s="188">
        <f t="shared" si="12"/>
        <v>29000</v>
      </c>
    </row>
    <row r="279" spans="1:8" x14ac:dyDescent="0.25">
      <c r="A279" s="6" t="s">
        <v>308</v>
      </c>
      <c r="B279" s="6" t="s">
        <v>309</v>
      </c>
      <c r="C279" s="6" t="s">
        <v>217</v>
      </c>
      <c r="D279" s="7">
        <v>8</v>
      </c>
      <c r="E279" s="13">
        <v>2977</v>
      </c>
      <c r="F279" s="13">
        <f t="shared" si="11"/>
        <v>23816</v>
      </c>
      <c r="G279">
        <v>5800</v>
      </c>
      <c r="H279" s="188">
        <f t="shared" si="12"/>
        <v>46400</v>
      </c>
    </row>
    <row r="280" spans="1:8" x14ac:dyDescent="0.25">
      <c r="A280" s="6" t="s">
        <v>310</v>
      </c>
      <c r="B280" s="6" t="s">
        <v>311</v>
      </c>
      <c r="C280" s="6" t="s">
        <v>217</v>
      </c>
      <c r="D280" s="7">
        <v>6</v>
      </c>
      <c r="E280" s="13">
        <v>2977</v>
      </c>
      <c r="F280" s="13">
        <f t="shared" si="11"/>
        <v>17862</v>
      </c>
      <c r="G280">
        <v>5800</v>
      </c>
      <c r="H280" s="188">
        <f t="shared" si="12"/>
        <v>34800</v>
      </c>
    </row>
    <row r="281" spans="1:8" x14ac:dyDescent="0.25">
      <c r="A281" s="6" t="s">
        <v>312</v>
      </c>
      <c r="B281" s="6" t="s">
        <v>313</v>
      </c>
      <c r="C281" s="6" t="s">
        <v>217</v>
      </c>
      <c r="D281" s="7">
        <v>7</v>
      </c>
      <c r="E281" s="13">
        <v>2977</v>
      </c>
      <c r="F281" s="13">
        <f t="shared" si="11"/>
        <v>20839</v>
      </c>
      <c r="G281">
        <v>5800</v>
      </c>
      <c r="H281" s="188">
        <f t="shared" si="12"/>
        <v>40600</v>
      </c>
    </row>
    <row r="282" spans="1:8" x14ac:dyDescent="0.25">
      <c r="A282" s="6" t="s">
        <v>314</v>
      </c>
      <c r="B282" s="6" t="s">
        <v>315</v>
      </c>
      <c r="C282" s="6" t="s">
        <v>217</v>
      </c>
      <c r="D282" s="7">
        <v>3</v>
      </c>
      <c r="E282" s="13">
        <v>2977</v>
      </c>
      <c r="F282" s="13">
        <f t="shared" si="11"/>
        <v>8931</v>
      </c>
      <c r="G282">
        <v>5800</v>
      </c>
      <c r="H282" s="188">
        <f t="shared" si="12"/>
        <v>17400</v>
      </c>
    </row>
    <row r="283" spans="1:8" x14ac:dyDescent="0.25">
      <c r="A283" s="6" t="s">
        <v>316</v>
      </c>
      <c r="B283" s="6" t="s">
        <v>317</v>
      </c>
      <c r="C283" s="6" t="s">
        <v>217</v>
      </c>
      <c r="D283" s="7">
        <v>5</v>
      </c>
      <c r="E283" s="13">
        <v>2977</v>
      </c>
      <c r="F283" s="13">
        <f t="shared" si="11"/>
        <v>14885</v>
      </c>
      <c r="G283">
        <v>5800</v>
      </c>
      <c r="H283" s="188">
        <f t="shared" si="12"/>
        <v>29000</v>
      </c>
    </row>
    <row r="284" spans="1:8" x14ac:dyDescent="0.25">
      <c r="A284" s="6" t="s">
        <v>318</v>
      </c>
      <c r="B284" s="6" t="s">
        <v>319</v>
      </c>
      <c r="C284" s="6" t="s">
        <v>217</v>
      </c>
      <c r="D284" s="7">
        <v>3</v>
      </c>
      <c r="E284" s="13">
        <v>2977</v>
      </c>
      <c r="F284" s="13">
        <f t="shared" si="11"/>
        <v>8931</v>
      </c>
      <c r="G284">
        <v>5800</v>
      </c>
      <c r="H284" s="188">
        <f t="shared" si="12"/>
        <v>17400</v>
      </c>
    </row>
    <row r="285" spans="1:8" x14ac:dyDescent="0.25">
      <c r="A285" s="6" t="s">
        <v>320</v>
      </c>
      <c r="B285" s="6" t="s">
        <v>321</v>
      </c>
      <c r="C285" s="6" t="s">
        <v>217</v>
      </c>
      <c r="D285" s="7">
        <v>8</v>
      </c>
      <c r="E285" s="13">
        <v>2977</v>
      </c>
      <c r="F285" s="13">
        <f t="shared" si="11"/>
        <v>23816</v>
      </c>
      <c r="G285">
        <v>5800</v>
      </c>
      <c r="H285" s="188">
        <f t="shared" si="12"/>
        <v>46400</v>
      </c>
    </row>
    <row r="286" spans="1:8" x14ac:dyDescent="0.25">
      <c r="A286" s="6" t="s">
        <v>322</v>
      </c>
      <c r="B286" s="6" t="s">
        <v>323</v>
      </c>
      <c r="C286" s="6" t="s">
        <v>217</v>
      </c>
      <c r="D286" s="7">
        <v>5</v>
      </c>
      <c r="E286" s="13">
        <v>2977</v>
      </c>
      <c r="F286" s="13">
        <f t="shared" si="11"/>
        <v>14885</v>
      </c>
      <c r="G286">
        <v>5800</v>
      </c>
      <c r="H286" s="188">
        <f t="shared" si="12"/>
        <v>29000</v>
      </c>
    </row>
    <row r="287" spans="1:8" x14ac:dyDescent="0.25">
      <c r="A287" s="6" t="s">
        <v>324</v>
      </c>
      <c r="B287" s="6" t="s">
        <v>325</v>
      </c>
      <c r="C287" s="6" t="s">
        <v>217</v>
      </c>
      <c r="D287" s="7">
        <v>3</v>
      </c>
      <c r="E287" s="13">
        <v>2977</v>
      </c>
      <c r="F287" s="13">
        <f t="shared" si="11"/>
        <v>8931</v>
      </c>
      <c r="G287">
        <v>5800</v>
      </c>
      <c r="H287" s="188">
        <f t="shared" si="12"/>
        <v>17400</v>
      </c>
    </row>
    <row r="288" spans="1:8" x14ac:dyDescent="0.25">
      <c r="A288" s="6" t="s">
        <v>326</v>
      </c>
      <c r="B288" s="6" t="s">
        <v>327</v>
      </c>
      <c r="C288" s="6" t="s">
        <v>217</v>
      </c>
      <c r="D288" s="7">
        <v>3</v>
      </c>
      <c r="E288" s="13">
        <v>2977</v>
      </c>
      <c r="F288" s="13">
        <f t="shared" si="11"/>
        <v>8931</v>
      </c>
      <c r="G288">
        <v>5800</v>
      </c>
      <c r="H288" s="188">
        <f t="shared" si="12"/>
        <v>17400</v>
      </c>
    </row>
    <row r="289" spans="1:8" x14ac:dyDescent="0.25">
      <c r="A289" s="6" t="s">
        <v>328</v>
      </c>
      <c r="B289" s="6" t="s">
        <v>329</v>
      </c>
      <c r="C289" s="6" t="s">
        <v>217</v>
      </c>
      <c r="D289" s="7">
        <v>8</v>
      </c>
      <c r="E289" s="13">
        <v>2977</v>
      </c>
      <c r="F289" s="13">
        <f t="shared" si="11"/>
        <v>23816</v>
      </c>
      <c r="G289">
        <v>5800</v>
      </c>
      <c r="H289" s="188">
        <f t="shared" si="12"/>
        <v>46400</v>
      </c>
    </row>
    <row r="290" spans="1:8" x14ac:dyDescent="0.25">
      <c r="A290" s="6" t="s">
        <v>366</v>
      </c>
      <c r="B290" s="6" t="s">
        <v>367</v>
      </c>
      <c r="C290" s="6" t="s">
        <v>217</v>
      </c>
      <c r="D290" s="7">
        <v>2</v>
      </c>
      <c r="E290" s="13">
        <v>2977</v>
      </c>
      <c r="F290" s="13">
        <f t="shared" si="11"/>
        <v>5954</v>
      </c>
      <c r="G290">
        <v>6700</v>
      </c>
      <c r="H290" s="188">
        <f t="shared" si="12"/>
        <v>13400</v>
      </c>
    </row>
    <row r="291" spans="1:8" x14ac:dyDescent="0.25">
      <c r="A291" s="6" t="s">
        <v>368</v>
      </c>
      <c r="B291" s="6" t="s">
        <v>369</v>
      </c>
      <c r="C291" s="6" t="s">
        <v>217</v>
      </c>
      <c r="D291" s="7">
        <v>7</v>
      </c>
      <c r="E291" s="13">
        <v>1597.7</v>
      </c>
      <c r="F291" s="13">
        <f t="shared" si="11"/>
        <v>11183.9</v>
      </c>
      <c r="G291">
        <v>4100</v>
      </c>
      <c r="H291" s="188">
        <f t="shared" si="12"/>
        <v>28700</v>
      </c>
    </row>
    <row r="292" spans="1:8" x14ac:dyDescent="0.25">
      <c r="A292" s="6" t="s">
        <v>370</v>
      </c>
      <c r="B292" s="6" t="s">
        <v>371</v>
      </c>
      <c r="C292" s="6" t="s">
        <v>217</v>
      </c>
      <c r="D292" s="7">
        <v>14</v>
      </c>
      <c r="E292" s="13">
        <v>731</v>
      </c>
      <c r="F292" s="13">
        <f t="shared" si="11"/>
        <v>10234</v>
      </c>
      <c r="G292">
        <v>2200</v>
      </c>
      <c r="H292" s="188">
        <f t="shared" si="12"/>
        <v>30800</v>
      </c>
    </row>
    <row r="293" spans="1:8" x14ac:dyDescent="0.25">
      <c r="A293" s="6" t="s">
        <v>356</v>
      </c>
      <c r="B293" s="6" t="s">
        <v>357</v>
      </c>
      <c r="C293" s="6" t="s">
        <v>217</v>
      </c>
      <c r="D293" s="7">
        <v>3</v>
      </c>
      <c r="E293" s="13">
        <v>1277</v>
      </c>
      <c r="F293" s="13">
        <f t="shared" si="11"/>
        <v>3831</v>
      </c>
      <c r="G293">
        <v>3200</v>
      </c>
      <c r="H293" s="188">
        <f t="shared" si="12"/>
        <v>9600</v>
      </c>
    </row>
    <row r="294" spans="1:8" x14ac:dyDescent="0.25">
      <c r="A294" s="6" t="s">
        <v>382</v>
      </c>
      <c r="B294" s="6" t="s">
        <v>383</v>
      </c>
      <c r="C294" s="6" t="s">
        <v>217</v>
      </c>
      <c r="D294" s="7">
        <v>1</v>
      </c>
      <c r="E294" s="13">
        <v>832</v>
      </c>
      <c r="F294" s="13">
        <f t="shared" si="11"/>
        <v>832</v>
      </c>
      <c r="G294">
        <v>2700</v>
      </c>
      <c r="H294" s="188">
        <f t="shared" si="12"/>
        <v>2700</v>
      </c>
    </row>
    <row r="295" spans="1:8" x14ac:dyDescent="0.25">
      <c r="A295" s="6" t="s">
        <v>384</v>
      </c>
      <c r="B295" s="6" t="s">
        <v>385</v>
      </c>
      <c r="C295" s="6" t="s">
        <v>217</v>
      </c>
      <c r="D295" s="7">
        <v>1</v>
      </c>
      <c r="E295" s="13">
        <v>1277</v>
      </c>
      <c r="F295" s="13">
        <f t="shared" ref="F295:F305" si="13">E295*D295</f>
        <v>1277</v>
      </c>
      <c r="G295">
        <v>3200</v>
      </c>
      <c r="H295" s="188">
        <f t="shared" si="12"/>
        <v>3200</v>
      </c>
    </row>
    <row r="296" spans="1:8" x14ac:dyDescent="0.25">
      <c r="A296" s="6" t="s">
        <v>330</v>
      </c>
      <c r="B296" s="6" t="s">
        <v>331</v>
      </c>
      <c r="C296" s="6" t="s">
        <v>217</v>
      </c>
      <c r="D296" s="7">
        <v>2</v>
      </c>
      <c r="E296" s="13">
        <v>1277</v>
      </c>
      <c r="F296" s="13">
        <f t="shared" si="13"/>
        <v>2554</v>
      </c>
      <c r="G296">
        <v>3200</v>
      </c>
      <c r="H296" s="188">
        <f t="shared" si="12"/>
        <v>6400</v>
      </c>
    </row>
    <row r="297" spans="1:8" x14ac:dyDescent="0.25">
      <c r="A297" s="6" t="s">
        <v>332</v>
      </c>
      <c r="B297" s="6" t="s">
        <v>333</v>
      </c>
      <c r="C297" s="6" t="s">
        <v>217</v>
      </c>
      <c r="D297" s="7">
        <v>2</v>
      </c>
      <c r="E297" s="13">
        <v>1277</v>
      </c>
      <c r="F297" s="13">
        <f t="shared" si="13"/>
        <v>2554</v>
      </c>
      <c r="G297">
        <v>3200</v>
      </c>
      <c r="H297" s="188">
        <f t="shared" si="12"/>
        <v>6400</v>
      </c>
    </row>
    <row r="298" spans="1:8" x14ac:dyDescent="0.25">
      <c r="A298" s="6" t="s">
        <v>334</v>
      </c>
      <c r="B298" s="6" t="s">
        <v>335</v>
      </c>
      <c r="C298" s="6" t="s">
        <v>217</v>
      </c>
      <c r="D298" s="7">
        <v>4</v>
      </c>
      <c r="E298" s="13">
        <v>1277</v>
      </c>
      <c r="F298" s="13">
        <f t="shared" si="13"/>
        <v>5108</v>
      </c>
      <c r="G298">
        <v>3200</v>
      </c>
      <c r="H298" s="188">
        <f t="shared" si="12"/>
        <v>12800</v>
      </c>
    </row>
    <row r="299" spans="1:8" x14ac:dyDescent="0.25">
      <c r="A299" s="6" t="s">
        <v>336</v>
      </c>
      <c r="B299" s="6" t="s">
        <v>337</v>
      </c>
      <c r="C299" s="6" t="s">
        <v>217</v>
      </c>
      <c r="D299" s="7">
        <v>1</v>
      </c>
      <c r="E299" s="13">
        <v>1277</v>
      </c>
      <c r="F299" s="13">
        <f t="shared" si="13"/>
        <v>1277</v>
      </c>
      <c r="G299">
        <v>3200</v>
      </c>
      <c r="H299" s="188">
        <f t="shared" si="12"/>
        <v>3200</v>
      </c>
    </row>
    <row r="300" spans="1:8" x14ac:dyDescent="0.25">
      <c r="A300" s="6" t="s">
        <v>338</v>
      </c>
      <c r="B300" s="6" t="s">
        <v>339</v>
      </c>
      <c r="C300" s="6" t="s">
        <v>217</v>
      </c>
      <c r="D300" s="7">
        <v>15</v>
      </c>
      <c r="E300" s="13">
        <v>731</v>
      </c>
      <c r="F300" s="13">
        <f t="shared" si="13"/>
        <v>10965</v>
      </c>
      <c r="G300">
        <v>2000</v>
      </c>
      <c r="H300" s="188">
        <f t="shared" si="12"/>
        <v>30000</v>
      </c>
    </row>
    <row r="301" spans="1:8" x14ac:dyDescent="0.25">
      <c r="A301" s="6" t="s">
        <v>340</v>
      </c>
      <c r="B301" s="6" t="s">
        <v>341</v>
      </c>
      <c r="C301" s="6" t="s">
        <v>217</v>
      </c>
      <c r="D301" s="7">
        <v>8</v>
      </c>
      <c r="E301" s="13">
        <v>1597.7</v>
      </c>
      <c r="F301" s="13">
        <f t="shared" si="13"/>
        <v>12781.6</v>
      </c>
      <c r="G301">
        <v>3800</v>
      </c>
      <c r="H301" s="188">
        <f t="shared" si="12"/>
        <v>30400</v>
      </c>
    </row>
    <row r="302" spans="1:8" x14ac:dyDescent="0.25">
      <c r="A302" s="6" t="s">
        <v>342</v>
      </c>
      <c r="B302" s="6" t="s">
        <v>343</v>
      </c>
      <c r="C302" s="6" t="s">
        <v>217</v>
      </c>
      <c r="D302" s="7">
        <v>3</v>
      </c>
      <c r="E302" s="13">
        <v>2977</v>
      </c>
      <c r="F302" s="13">
        <f t="shared" si="13"/>
        <v>8931</v>
      </c>
      <c r="G302">
        <v>5800</v>
      </c>
      <c r="H302" s="188">
        <f t="shared" si="12"/>
        <v>17400</v>
      </c>
    </row>
    <row r="303" spans="1:8" x14ac:dyDescent="0.25">
      <c r="A303" s="6" t="s">
        <v>344</v>
      </c>
      <c r="B303" s="6" t="s">
        <v>345</v>
      </c>
      <c r="C303" s="6" t="s">
        <v>217</v>
      </c>
      <c r="D303" s="7">
        <v>26</v>
      </c>
      <c r="E303" s="13">
        <v>832</v>
      </c>
      <c r="F303" s="13">
        <f t="shared" si="13"/>
        <v>21632</v>
      </c>
      <c r="G303">
        <v>2700</v>
      </c>
      <c r="H303" s="188">
        <f t="shared" si="12"/>
        <v>70200</v>
      </c>
    </row>
    <row r="304" spans="1:8" x14ac:dyDescent="0.25">
      <c r="A304" s="6" t="s">
        <v>346</v>
      </c>
      <c r="B304" s="6" t="s">
        <v>347</v>
      </c>
      <c r="C304" s="6" t="s">
        <v>217</v>
      </c>
      <c r="D304" s="7">
        <v>3</v>
      </c>
      <c r="E304" s="13">
        <v>1544</v>
      </c>
      <c r="F304" s="13">
        <f t="shared" si="13"/>
        <v>4632</v>
      </c>
      <c r="G304">
        <v>4900</v>
      </c>
      <c r="H304" s="188">
        <f t="shared" si="12"/>
        <v>14700</v>
      </c>
    </row>
    <row r="305" spans="1:8" x14ac:dyDescent="0.25">
      <c r="A305" s="6" t="s">
        <v>374</v>
      </c>
      <c r="B305" s="6" t="s">
        <v>375</v>
      </c>
      <c r="C305" s="6" t="s">
        <v>217</v>
      </c>
      <c r="D305" s="7">
        <v>4</v>
      </c>
      <c r="E305" s="13">
        <v>731</v>
      </c>
      <c r="F305" s="13">
        <f t="shared" si="13"/>
        <v>2924</v>
      </c>
      <c r="G305">
        <v>2200</v>
      </c>
      <c r="H305" s="188">
        <f t="shared" si="12"/>
        <v>8800</v>
      </c>
    </row>
    <row r="306" spans="1:8" x14ac:dyDescent="0.25">
      <c r="A306" s="89">
        <v>45597</v>
      </c>
      <c r="B306" s="93"/>
      <c r="C306" s="93"/>
      <c r="D306" s="93"/>
      <c r="E306" s="94"/>
      <c r="F306" s="94"/>
      <c r="H306" s="188">
        <f t="shared" si="12"/>
        <v>0</v>
      </c>
    </row>
    <row r="307" spans="1:8" x14ac:dyDescent="0.25">
      <c r="A307" s="6" t="s">
        <v>215</v>
      </c>
      <c r="B307" s="6" t="s">
        <v>216</v>
      </c>
      <c r="C307" s="6" t="s">
        <v>217</v>
      </c>
      <c r="D307" s="7">
        <v>25</v>
      </c>
      <c r="E307" s="13">
        <v>731</v>
      </c>
      <c r="F307" s="13">
        <f>D307*E307</f>
        <v>18275</v>
      </c>
      <c r="G307">
        <v>2000</v>
      </c>
      <c r="H307" s="188">
        <f t="shared" si="12"/>
        <v>50000</v>
      </c>
    </row>
    <row r="308" spans="1:8" x14ac:dyDescent="0.25">
      <c r="A308" s="6" t="s">
        <v>218</v>
      </c>
      <c r="B308" s="6" t="s">
        <v>219</v>
      </c>
      <c r="C308" s="6" t="s">
        <v>217</v>
      </c>
      <c r="D308" s="7">
        <v>228</v>
      </c>
      <c r="E308" s="13">
        <v>731</v>
      </c>
      <c r="F308" s="13">
        <f t="shared" ref="F308:F371" si="14">D308*E308</f>
        <v>166668</v>
      </c>
      <c r="G308">
        <v>2000</v>
      </c>
      <c r="H308" s="188">
        <f t="shared" si="12"/>
        <v>456000</v>
      </c>
    </row>
    <row r="309" spans="1:8" x14ac:dyDescent="0.25">
      <c r="A309" s="6" t="s">
        <v>220</v>
      </c>
      <c r="B309" s="6" t="s">
        <v>221</v>
      </c>
      <c r="C309" s="6" t="s">
        <v>217</v>
      </c>
      <c r="D309" s="7">
        <v>11</v>
      </c>
      <c r="E309" s="13">
        <v>731</v>
      </c>
      <c r="F309" s="13">
        <f t="shared" si="14"/>
        <v>8041</v>
      </c>
      <c r="G309">
        <v>2000</v>
      </c>
      <c r="H309" s="188">
        <f t="shared" si="12"/>
        <v>22000</v>
      </c>
    </row>
    <row r="310" spans="1:8" x14ac:dyDescent="0.25">
      <c r="A310" s="6" t="s">
        <v>222</v>
      </c>
      <c r="B310" s="6" t="s">
        <v>223</v>
      </c>
      <c r="C310" s="6" t="s">
        <v>217</v>
      </c>
      <c r="D310" s="7">
        <v>29</v>
      </c>
      <c r="E310" s="13">
        <v>731</v>
      </c>
      <c r="F310" s="13">
        <f t="shared" si="14"/>
        <v>21199</v>
      </c>
      <c r="G310">
        <v>2000</v>
      </c>
      <c r="H310" s="188">
        <f t="shared" si="12"/>
        <v>58000</v>
      </c>
    </row>
    <row r="311" spans="1:8" x14ac:dyDescent="0.25">
      <c r="A311" s="6" t="s">
        <v>224</v>
      </c>
      <c r="B311" s="6" t="s">
        <v>225</v>
      </c>
      <c r="C311" s="6" t="s">
        <v>217</v>
      </c>
      <c r="D311" s="7">
        <v>17</v>
      </c>
      <c r="E311" s="13">
        <v>731</v>
      </c>
      <c r="F311" s="13">
        <f t="shared" si="14"/>
        <v>12427</v>
      </c>
      <c r="G311">
        <v>2000</v>
      </c>
      <c r="H311" s="188">
        <f t="shared" si="12"/>
        <v>34000</v>
      </c>
    </row>
    <row r="312" spans="1:8" x14ac:dyDescent="0.25">
      <c r="A312" s="6" t="s">
        <v>226</v>
      </c>
      <c r="B312" s="6" t="s">
        <v>227</v>
      </c>
      <c r="C312" s="6" t="s">
        <v>217</v>
      </c>
      <c r="D312" s="7">
        <v>17</v>
      </c>
      <c r="E312" s="13">
        <v>731</v>
      </c>
      <c r="F312" s="13">
        <f t="shared" si="14"/>
        <v>12427</v>
      </c>
      <c r="G312">
        <v>2000</v>
      </c>
      <c r="H312" s="188">
        <f t="shared" si="12"/>
        <v>34000</v>
      </c>
    </row>
    <row r="313" spans="1:8" x14ac:dyDescent="0.25">
      <c r="A313" s="6" t="s">
        <v>228</v>
      </c>
      <c r="B313" s="6" t="s">
        <v>229</v>
      </c>
      <c r="C313" s="6" t="s">
        <v>217</v>
      </c>
      <c r="D313" s="7">
        <v>214</v>
      </c>
      <c r="E313" s="13">
        <v>731</v>
      </c>
      <c r="F313" s="13">
        <f t="shared" si="14"/>
        <v>156434</v>
      </c>
      <c r="G313">
        <v>2000</v>
      </c>
      <c r="H313" s="188">
        <f t="shared" si="12"/>
        <v>428000</v>
      </c>
    </row>
    <row r="314" spans="1:8" x14ac:dyDescent="0.25">
      <c r="A314" s="6" t="s">
        <v>230</v>
      </c>
      <c r="B314" s="6" t="s">
        <v>231</v>
      </c>
      <c r="C314" s="6" t="s">
        <v>217</v>
      </c>
      <c r="D314" s="7">
        <v>22</v>
      </c>
      <c r="E314" s="13">
        <v>731</v>
      </c>
      <c r="F314" s="13">
        <f t="shared" si="14"/>
        <v>16082</v>
      </c>
      <c r="G314">
        <v>2000</v>
      </c>
      <c r="H314" s="188">
        <f t="shared" si="12"/>
        <v>44000</v>
      </c>
    </row>
    <row r="315" spans="1:8" x14ac:dyDescent="0.25">
      <c r="A315" s="6" t="s">
        <v>232</v>
      </c>
      <c r="B315" s="6" t="s">
        <v>233</v>
      </c>
      <c r="C315" s="6" t="s">
        <v>217</v>
      </c>
      <c r="D315" s="7">
        <v>19</v>
      </c>
      <c r="E315" s="13">
        <v>731</v>
      </c>
      <c r="F315" s="13">
        <f t="shared" si="14"/>
        <v>13889</v>
      </c>
      <c r="G315">
        <v>2000</v>
      </c>
      <c r="H315" s="188">
        <f t="shared" si="12"/>
        <v>38000</v>
      </c>
    </row>
    <row r="316" spans="1:8" x14ac:dyDescent="0.25">
      <c r="A316" s="6" t="s">
        <v>234</v>
      </c>
      <c r="B316" s="6" t="s">
        <v>235</v>
      </c>
      <c r="C316" s="6" t="s">
        <v>217</v>
      </c>
      <c r="D316" s="7">
        <v>23</v>
      </c>
      <c r="E316" s="13">
        <v>731</v>
      </c>
      <c r="F316" s="13">
        <f t="shared" si="14"/>
        <v>16813</v>
      </c>
      <c r="G316">
        <v>2000</v>
      </c>
      <c r="H316" s="188">
        <f t="shared" si="12"/>
        <v>46000</v>
      </c>
    </row>
    <row r="317" spans="1:8" x14ac:dyDescent="0.25">
      <c r="A317" s="6" t="s">
        <v>236</v>
      </c>
      <c r="B317" s="6" t="s">
        <v>237</v>
      </c>
      <c r="C317" s="6" t="s">
        <v>217</v>
      </c>
      <c r="D317" s="7">
        <v>227</v>
      </c>
      <c r="E317" s="13">
        <v>731</v>
      </c>
      <c r="F317" s="13">
        <f t="shared" si="14"/>
        <v>165937</v>
      </c>
      <c r="G317">
        <v>2000</v>
      </c>
      <c r="H317" s="188">
        <f t="shared" si="12"/>
        <v>454000</v>
      </c>
    </row>
    <row r="318" spans="1:8" x14ac:dyDescent="0.25">
      <c r="A318" s="6" t="s">
        <v>238</v>
      </c>
      <c r="B318" s="6" t="s">
        <v>239</v>
      </c>
      <c r="C318" s="6" t="s">
        <v>217</v>
      </c>
      <c r="D318" s="7">
        <v>220</v>
      </c>
      <c r="E318" s="13">
        <v>731</v>
      </c>
      <c r="F318" s="13">
        <f t="shared" si="14"/>
        <v>160820</v>
      </c>
      <c r="G318">
        <v>2000</v>
      </c>
      <c r="H318" s="188">
        <f t="shared" si="12"/>
        <v>440000</v>
      </c>
    </row>
    <row r="319" spans="1:8" x14ac:dyDescent="0.25">
      <c r="A319" s="6" t="s">
        <v>240</v>
      </c>
      <c r="B319" s="6" t="s">
        <v>241</v>
      </c>
      <c r="C319" s="6" t="s">
        <v>217</v>
      </c>
      <c r="D319" s="7">
        <v>4</v>
      </c>
      <c r="E319" s="13">
        <v>731</v>
      </c>
      <c r="F319" s="13">
        <f t="shared" si="14"/>
        <v>2924</v>
      </c>
      <c r="G319">
        <v>2000</v>
      </c>
      <c r="H319" s="188">
        <f t="shared" si="12"/>
        <v>8000</v>
      </c>
    </row>
    <row r="320" spans="1:8" x14ac:dyDescent="0.25">
      <c r="A320" s="6" t="s">
        <v>242</v>
      </c>
      <c r="B320" s="6" t="s">
        <v>243</v>
      </c>
      <c r="C320" s="6" t="s">
        <v>217</v>
      </c>
      <c r="D320" s="7">
        <v>26</v>
      </c>
      <c r="E320" s="13">
        <v>731</v>
      </c>
      <c r="F320" s="13">
        <f t="shared" si="14"/>
        <v>19006</v>
      </c>
      <c r="G320">
        <v>2000</v>
      </c>
      <c r="H320" s="188">
        <f t="shared" si="12"/>
        <v>52000</v>
      </c>
    </row>
    <row r="321" spans="1:8" x14ac:dyDescent="0.25">
      <c r="A321" s="6" t="s">
        <v>244</v>
      </c>
      <c r="B321" s="6" t="s">
        <v>245</v>
      </c>
      <c r="C321" s="6" t="s">
        <v>217</v>
      </c>
      <c r="D321" s="7">
        <v>18</v>
      </c>
      <c r="E321" s="13">
        <v>1597.7</v>
      </c>
      <c r="F321" s="13">
        <f t="shared" si="14"/>
        <v>28758.600000000002</v>
      </c>
      <c r="G321">
        <v>3800</v>
      </c>
      <c r="H321" s="188">
        <f t="shared" si="12"/>
        <v>68400</v>
      </c>
    </row>
    <row r="322" spans="1:8" x14ac:dyDescent="0.25">
      <c r="A322" s="6" t="s">
        <v>246</v>
      </c>
      <c r="B322" s="6" t="s">
        <v>247</v>
      </c>
      <c r="C322" s="6" t="s">
        <v>217</v>
      </c>
      <c r="D322" s="7">
        <v>24</v>
      </c>
      <c r="E322" s="13">
        <v>1597.7</v>
      </c>
      <c r="F322" s="13">
        <f t="shared" si="14"/>
        <v>38344.800000000003</v>
      </c>
      <c r="G322">
        <v>3800</v>
      </c>
      <c r="H322" s="188">
        <f t="shared" si="12"/>
        <v>91200</v>
      </c>
    </row>
    <row r="323" spans="1:8" x14ac:dyDescent="0.25">
      <c r="A323" s="6" t="s">
        <v>248</v>
      </c>
      <c r="B323" s="6" t="s">
        <v>249</v>
      </c>
      <c r="C323" s="6" t="s">
        <v>217</v>
      </c>
      <c r="D323" s="7">
        <v>8</v>
      </c>
      <c r="E323" s="13">
        <v>1597.7</v>
      </c>
      <c r="F323" s="13">
        <f t="shared" si="14"/>
        <v>12781.6</v>
      </c>
      <c r="G323">
        <v>3800</v>
      </c>
      <c r="H323" s="188">
        <f t="shared" si="12"/>
        <v>30400</v>
      </c>
    </row>
    <row r="324" spans="1:8" x14ac:dyDescent="0.25">
      <c r="A324" s="6" t="s">
        <v>250</v>
      </c>
      <c r="B324" s="6" t="s">
        <v>251</v>
      </c>
      <c r="C324" s="6" t="s">
        <v>217</v>
      </c>
      <c r="D324" s="7">
        <v>17</v>
      </c>
      <c r="E324" s="13">
        <v>1597.7</v>
      </c>
      <c r="F324" s="13">
        <f t="shared" si="14"/>
        <v>27160.9</v>
      </c>
      <c r="G324">
        <v>3800</v>
      </c>
      <c r="H324" s="188">
        <f t="shared" si="12"/>
        <v>64600</v>
      </c>
    </row>
    <row r="325" spans="1:8" x14ac:dyDescent="0.25">
      <c r="A325" s="6" t="s">
        <v>252</v>
      </c>
      <c r="B325" s="6" t="s">
        <v>253</v>
      </c>
      <c r="C325" s="6" t="s">
        <v>217</v>
      </c>
      <c r="D325" s="7">
        <v>17</v>
      </c>
      <c r="E325" s="13">
        <v>1597.7</v>
      </c>
      <c r="F325" s="13">
        <f t="shared" si="14"/>
        <v>27160.9</v>
      </c>
      <c r="G325">
        <v>3800</v>
      </c>
      <c r="H325" s="188">
        <f t="shared" si="12"/>
        <v>64600</v>
      </c>
    </row>
    <row r="326" spans="1:8" x14ac:dyDescent="0.25">
      <c r="A326" s="6" t="s">
        <v>254</v>
      </c>
      <c r="B326" s="6" t="s">
        <v>255</v>
      </c>
      <c r="C326" s="6" t="s">
        <v>217</v>
      </c>
      <c r="D326" s="7">
        <v>13</v>
      </c>
      <c r="E326" s="13">
        <v>1597.7</v>
      </c>
      <c r="F326" s="13">
        <f t="shared" si="14"/>
        <v>20770.100000000002</v>
      </c>
      <c r="G326">
        <v>3800</v>
      </c>
      <c r="H326" s="188">
        <f t="shared" si="12"/>
        <v>49400</v>
      </c>
    </row>
    <row r="327" spans="1:8" x14ac:dyDescent="0.25">
      <c r="A327" s="6" t="s">
        <v>256</v>
      </c>
      <c r="B327" s="6" t="s">
        <v>257</v>
      </c>
      <c r="C327" s="6" t="s">
        <v>217</v>
      </c>
      <c r="D327" s="7">
        <v>9</v>
      </c>
      <c r="E327" s="13">
        <v>1597.7</v>
      </c>
      <c r="F327" s="13">
        <f t="shared" si="14"/>
        <v>14379.300000000001</v>
      </c>
      <c r="G327">
        <v>3800</v>
      </c>
      <c r="H327" s="188">
        <f t="shared" si="12"/>
        <v>34200</v>
      </c>
    </row>
    <row r="328" spans="1:8" x14ac:dyDescent="0.25">
      <c r="A328" s="6" t="s">
        <v>258</v>
      </c>
      <c r="B328" s="6" t="s">
        <v>259</v>
      </c>
      <c r="C328" s="6" t="s">
        <v>217</v>
      </c>
      <c r="D328" s="7">
        <v>12</v>
      </c>
      <c r="E328" s="13">
        <v>1597.7</v>
      </c>
      <c r="F328" s="13">
        <f t="shared" si="14"/>
        <v>19172.400000000001</v>
      </c>
      <c r="G328">
        <v>3800</v>
      </c>
      <c r="H328" s="188">
        <f t="shared" si="12"/>
        <v>45600</v>
      </c>
    </row>
    <row r="329" spans="1:8" x14ac:dyDescent="0.25">
      <c r="A329" s="6" t="s">
        <v>260</v>
      </c>
      <c r="B329" s="6" t="s">
        <v>261</v>
      </c>
      <c r="C329" s="6" t="s">
        <v>217</v>
      </c>
      <c r="D329" s="7">
        <v>10</v>
      </c>
      <c r="E329" s="13">
        <v>1597.7</v>
      </c>
      <c r="F329" s="13">
        <f t="shared" si="14"/>
        <v>15977</v>
      </c>
      <c r="G329">
        <v>3800</v>
      </c>
      <c r="H329" s="188">
        <f t="shared" si="12"/>
        <v>38000</v>
      </c>
    </row>
    <row r="330" spans="1:8" x14ac:dyDescent="0.25">
      <c r="A330" s="6" t="s">
        <v>262</v>
      </c>
      <c r="B330" s="6" t="s">
        <v>263</v>
      </c>
      <c r="C330" s="6" t="s">
        <v>217</v>
      </c>
      <c r="D330" s="7">
        <v>18</v>
      </c>
      <c r="E330" s="13">
        <v>1597.7</v>
      </c>
      <c r="F330" s="13">
        <f t="shared" si="14"/>
        <v>28758.600000000002</v>
      </c>
      <c r="G330">
        <v>3800</v>
      </c>
      <c r="H330" s="188">
        <f t="shared" ref="H330:H393" si="15">G330*D330</f>
        <v>68400</v>
      </c>
    </row>
    <row r="331" spans="1:8" x14ac:dyDescent="0.25">
      <c r="A331" s="6" t="s">
        <v>264</v>
      </c>
      <c r="B331" s="6" t="s">
        <v>265</v>
      </c>
      <c r="C331" s="6" t="s">
        <v>217</v>
      </c>
      <c r="D331" s="7">
        <v>21</v>
      </c>
      <c r="E331" s="13">
        <v>1597.7</v>
      </c>
      <c r="F331" s="13">
        <f t="shared" si="14"/>
        <v>33551.700000000004</v>
      </c>
      <c r="G331">
        <v>3800</v>
      </c>
      <c r="H331" s="188">
        <f t="shared" si="15"/>
        <v>79800</v>
      </c>
    </row>
    <row r="332" spans="1:8" x14ac:dyDescent="0.25">
      <c r="A332" s="6" t="s">
        <v>266</v>
      </c>
      <c r="B332" s="6" t="s">
        <v>267</v>
      </c>
      <c r="C332" s="6" t="s">
        <v>217</v>
      </c>
      <c r="D332" s="7">
        <v>8</v>
      </c>
      <c r="E332" s="13">
        <v>1597.7</v>
      </c>
      <c r="F332" s="13">
        <f t="shared" si="14"/>
        <v>12781.6</v>
      </c>
      <c r="G332">
        <v>3800</v>
      </c>
      <c r="H332" s="188">
        <f t="shared" si="15"/>
        <v>30400</v>
      </c>
    </row>
    <row r="333" spans="1:8" x14ac:dyDescent="0.25">
      <c r="A333" s="6" t="s">
        <v>268</v>
      </c>
      <c r="B333" s="6" t="s">
        <v>269</v>
      </c>
      <c r="C333" s="6" t="s">
        <v>217</v>
      </c>
      <c r="D333" s="7">
        <v>5</v>
      </c>
      <c r="E333" s="13">
        <v>1597.7</v>
      </c>
      <c r="F333" s="13">
        <f t="shared" si="14"/>
        <v>7988.5</v>
      </c>
      <c r="G333">
        <v>3800</v>
      </c>
      <c r="H333" s="188">
        <f t="shared" si="15"/>
        <v>19000</v>
      </c>
    </row>
    <row r="334" spans="1:8" x14ac:dyDescent="0.25">
      <c r="A334" s="6" t="s">
        <v>270</v>
      </c>
      <c r="B334" s="6" t="s">
        <v>271</v>
      </c>
      <c r="C334" s="6" t="s">
        <v>217</v>
      </c>
      <c r="D334" s="7">
        <v>18</v>
      </c>
      <c r="E334" s="13">
        <v>1597.7</v>
      </c>
      <c r="F334" s="13">
        <f t="shared" si="14"/>
        <v>28758.600000000002</v>
      </c>
      <c r="G334">
        <v>3800</v>
      </c>
      <c r="H334" s="188">
        <f t="shared" si="15"/>
        <v>68400</v>
      </c>
    </row>
    <row r="335" spans="1:8" x14ac:dyDescent="0.25">
      <c r="A335" s="6" t="s">
        <v>272</v>
      </c>
      <c r="B335" s="6" t="s">
        <v>273</v>
      </c>
      <c r="C335" s="6" t="s">
        <v>217</v>
      </c>
      <c r="D335" s="7">
        <v>17</v>
      </c>
      <c r="E335" s="13">
        <v>832</v>
      </c>
      <c r="F335" s="13">
        <f t="shared" si="14"/>
        <v>14144</v>
      </c>
      <c r="G335">
        <v>2700</v>
      </c>
      <c r="H335" s="188">
        <f t="shared" si="15"/>
        <v>45900</v>
      </c>
    </row>
    <row r="336" spans="1:8" x14ac:dyDescent="0.25">
      <c r="A336" s="6" t="s">
        <v>274</v>
      </c>
      <c r="B336" s="6" t="s">
        <v>275</v>
      </c>
      <c r="C336" s="6" t="s">
        <v>217</v>
      </c>
      <c r="D336" s="7">
        <v>36</v>
      </c>
      <c r="E336" s="13">
        <v>832</v>
      </c>
      <c r="F336" s="13">
        <f t="shared" si="14"/>
        <v>29952</v>
      </c>
      <c r="G336">
        <v>2700</v>
      </c>
      <c r="H336" s="188">
        <f t="shared" si="15"/>
        <v>97200</v>
      </c>
    </row>
    <row r="337" spans="1:8" x14ac:dyDescent="0.25">
      <c r="A337" s="6" t="s">
        <v>276</v>
      </c>
      <c r="B337" s="6" t="s">
        <v>277</v>
      </c>
      <c r="C337" s="6" t="s">
        <v>217</v>
      </c>
      <c r="D337" s="7">
        <v>31</v>
      </c>
      <c r="E337" s="13">
        <v>832</v>
      </c>
      <c r="F337" s="13">
        <f t="shared" si="14"/>
        <v>25792</v>
      </c>
      <c r="G337">
        <v>2700</v>
      </c>
      <c r="H337" s="188">
        <f t="shared" si="15"/>
        <v>83700</v>
      </c>
    </row>
    <row r="338" spans="1:8" x14ac:dyDescent="0.25">
      <c r="A338" s="6" t="s">
        <v>278</v>
      </c>
      <c r="B338" s="6" t="s">
        <v>279</v>
      </c>
      <c r="C338" s="6" t="s">
        <v>217</v>
      </c>
      <c r="D338" s="7">
        <v>18</v>
      </c>
      <c r="E338" s="13">
        <v>832</v>
      </c>
      <c r="F338" s="13">
        <f t="shared" si="14"/>
        <v>14976</v>
      </c>
      <c r="G338">
        <v>2700</v>
      </c>
      <c r="H338" s="188">
        <f t="shared" si="15"/>
        <v>48600</v>
      </c>
    </row>
    <row r="339" spans="1:8" x14ac:dyDescent="0.25">
      <c r="A339" s="6" t="s">
        <v>280</v>
      </c>
      <c r="B339" s="6" t="s">
        <v>281</v>
      </c>
      <c r="C339" s="6" t="s">
        <v>217</v>
      </c>
      <c r="D339" s="7">
        <v>27</v>
      </c>
      <c r="E339" s="13">
        <v>832</v>
      </c>
      <c r="F339" s="13">
        <f t="shared" si="14"/>
        <v>22464</v>
      </c>
      <c r="G339">
        <v>2700</v>
      </c>
      <c r="H339" s="188">
        <f t="shared" si="15"/>
        <v>72900</v>
      </c>
    </row>
    <row r="340" spans="1:8" x14ac:dyDescent="0.25">
      <c r="A340" s="6" t="s">
        <v>282</v>
      </c>
      <c r="B340" s="6" t="s">
        <v>283</v>
      </c>
      <c r="C340" s="6" t="s">
        <v>217</v>
      </c>
      <c r="D340" s="7">
        <v>16</v>
      </c>
      <c r="E340" s="13">
        <v>832</v>
      </c>
      <c r="F340" s="13">
        <f t="shared" si="14"/>
        <v>13312</v>
      </c>
      <c r="G340">
        <v>2700</v>
      </c>
      <c r="H340" s="188">
        <f t="shared" si="15"/>
        <v>43200</v>
      </c>
    </row>
    <row r="341" spans="1:8" x14ac:dyDescent="0.25">
      <c r="A341" s="6" t="s">
        <v>284</v>
      </c>
      <c r="B341" s="6" t="s">
        <v>285</v>
      </c>
      <c r="C341" s="6" t="s">
        <v>217</v>
      </c>
      <c r="D341" s="7">
        <v>27</v>
      </c>
      <c r="E341" s="13">
        <v>832</v>
      </c>
      <c r="F341" s="13">
        <f t="shared" si="14"/>
        <v>22464</v>
      </c>
      <c r="G341">
        <v>2700</v>
      </c>
      <c r="H341" s="188">
        <f t="shared" si="15"/>
        <v>72900</v>
      </c>
    </row>
    <row r="342" spans="1:8" x14ac:dyDescent="0.25">
      <c r="A342" s="6" t="s">
        <v>286</v>
      </c>
      <c r="B342" s="6" t="s">
        <v>287</v>
      </c>
      <c r="C342" s="6" t="s">
        <v>217</v>
      </c>
      <c r="D342" s="7">
        <v>17</v>
      </c>
      <c r="E342" s="13">
        <v>832</v>
      </c>
      <c r="F342" s="13">
        <f t="shared" si="14"/>
        <v>14144</v>
      </c>
      <c r="G342">
        <v>2700</v>
      </c>
      <c r="H342" s="188">
        <f t="shared" si="15"/>
        <v>45900</v>
      </c>
    </row>
    <row r="343" spans="1:8" x14ac:dyDescent="0.25">
      <c r="A343" s="6" t="s">
        <v>288</v>
      </c>
      <c r="B343" s="6" t="s">
        <v>289</v>
      </c>
      <c r="C343" s="6" t="s">
        <v>217</v>
      </c>
      <c r="D343" s="7">
        <v>13</v>
      </c>
      <c r="E343" s="13">
        <v>1544</v>
      </c>
      <c r="F343" s="13">
        <f t="shared" si="14"/>
        <v>20072</v>
      </c>
      <c r="G343">
        <v>4900</v>
      </c>
      <c r="H343" s="188">
        <f t="shared" si="15"/>
        <v>63700</v>
      </c>
    </row>
    <row r="344" spans="1:8" x14ac:dyDescent="0.25">
      <c r="A344" s="6" t="s">
        <v>290</v>
      </c>
      <c r="B344" s="6" t="s">
        <v>291</v>
      </c>
      <c r="C344" s="6" t="s">
        <v>217</v>
      </c>
      <c r="D344" s="7">
        <v>8</v>
      </c>
      <c r="E344" s="13">
        <v>1544</v>
      </c>
      <c r="F344" s="13">
        <f t="shared" si="14"/>
        <v>12352</v>
      </c>
      <c r="G344">
        <v>4900</v>
      </c>
      <c r="H344" s="188">
        <f t="shared" si="15"/>
        <v>39200</v>
      </c>
    </row>
    <row r="345" spans="1:8" x14ac:dyDescent="0.25">
      <c r="A345" s="6" t="s">
        <v>292</v>
      </c>
      <c r="B345" s="6" t="s">
        <v>293</v>
      </c>
      <c r="C345" s="6" t="s">
        <v>217</v>
      </c>
      <c r="D345" s="7">
        <v>12</v>
      </c>
      <c r="E345" s="13">
        <v>1544</v>
      </c>
      <c r="F345" s="13">
        <f t="shared" si="14"/>
        <v>18528</v>
      </c>
      <c r="G345">
        <v>4900</v>
      </c>
      <c r="H345" s="188">
        <f t="shared" si="15"/>
        <v>58800</v>
      </c>
    </row>
    <row r="346" spans="1:8" x14ac:dyDescent="0.25">
      <c r="A346" s="6" t="s">
        <v>294</v>
      </c>
      <c r="B346" s="6" t="s">
        <v>295</v>
      </c>
      <c r="C346" s="6" t="s">
        <v>217</v>
      </c>
      <c r="D346" s="7">
        <v>21</v>
      </c>
      <c r="E346" s="13">
        <v>1544</v>
      </c>
      <c r="F346" s="13">
        <f t="shared" si="14"/>
        <v>32424</v>
      </c>
      <c r="G346">
        <v>4900</v>
      </c>
      <c r="H346" s="188">
        <f t="shared" si="15"/>
        <v>102900</v>
      </c>
    </row>
    <row r="347" spans="1:8" x14ac:dyDescent="0.25">
      <c r="A347" s="6" t="s">
        <v>296</v>
      </c>
      <c r="B347" s="6" t="s">
        <v>297</v>
      </c>
      <c r="C347" s="6" t="s">
        <v>217</v>
      </c>
      <c r="D347" s="7">
        <v>14</v>
      </c>
      <c r="E347" s="13">
        <v>1544</v>
      </c>
      <c r="F347" s="13">
        <f t="shared" si="14"/>
        <v>21616</v>
      </c>
      <c r="G347">
        <v>4900</v>
      </c>
      <c r="H347" s="188">
        <f t="shared" si="15"/>
        <v>68600</v>
      </c>
    </row>
    <row r="348" spans="1:8" x14ac:dyDescent="0.25">
      <c r="A348" s="6" t="s">
        <v>298</v>
      </c>
      <c r="B348" s="6" t="s">
        <v>299</v>
      </c>
      <c r="C348" s="6" t="s">
        <v>217</v>
      </c>
      <c r="D348" s="7">
        <v>10</v>
      </c>
      <c r="E348" s="13">
        <v>1544</v>
      </c>
      <c r="F348" s="13">
        <f t="shared" si="14"/>
        <v>15440</v>
      </c>
      <c r="G348">
        <v>4900</v>
      </c>
      <c r="H348" s="188">
        <f t="shared" si="15"/>
        <v>49000</v>
      </c>
    </row>
    <row r="349" spans="1:8" x14ac:dyDescent="0.25">
      <c r="A349" s="6" t="s">
        <v>300</v>
      </c>
      <c r="B349" s="6" t="s">
        <v>301</v>
      </c>
      <c r="C349" s="6" t="s">
        <v>217</v>
      </c>
      <c r="D349" s="7">
        <v>7</v>
      </c>
      <c r="E349" s="13">
        <v>1544</v>
      </c>
      <c r="F349" s="13">
        <f t="shared" si="14"/>
        <v>10808</v>
      </c>
      <c r="G349">
        <v>4900</v>
      </c>
      <c r="H349" s="188">
        <f t="shared" si="15"/>
        <v>34300</v>
      </c>
    </row>
    <row r="350" spans="1:8" x14ac:dyDescent="0.25">
      <c r="A350" s="6" t="s">
        <v>362</v>
      </c>
      <c r="B350" s="6" t="s">
        <v>363</v>
      </c>
      <c r="C350" s="6" t="s">
        <v>217</v>
      </c>
      <c r="D350" s="7">
        <v>6</v>
      </c>
      <c r="E350" s="13">
        <v>1597.7</v>
      </c>
      <c r="F350" s="13">
        <f t="shared" si="14"/>
        <v>9586.2000000000007</v>
      </c>
      <c r="G350">
        <v>3800</v>
      </c>
      <c r="H350" s="188">
        <f t="shared" si="15"/>
        <v>22800</v>
      </c>
    </row>
    <row r="351" spans="1:8" x14ac:dyDescent="0.25">
      <c r="A351" s="6" t="s">
        <v>302</v>
      </c>
      <c r="B351" s="6" t="s">
        <v>303</v>
      </c>
      <c r="C351" s="6" t="s">
        <v>217</v>
      </c>
      <c r="D351" s="7">
        <v>9</v>
      </c>
      <c r="E351" s="13">
        <v>2977</v>
      </c>
      <c r="F351" s="13">
        <f t="shared" si="14"/>
        <v>26793</v>
      </c>
      <c r="G351">
        <v>5800</v>
      </c>
      <c r="H351" s="188">
        <f t="shared" si="15"/>
        <v>52200</v>
      </c>
    </row>
    <row r="352" spans="1:8" x14ac:dyDescent="0.25">
      <c r="A352" s="6" t="s">
        <v>304</v>
      </c>
      <c r="B352" s="6" t="s">
        <v>305</v>
      </c>
      <c r="C352" s="6" t="s">
        <v>217</v>
      </c>
      <c r="D352" s="7">
        <v>14</v>
      </c>
      <c r="E352" s="13">
        <v>2977</v>
      </c>
      <c r="F352" s="13">
        <f t="shared" si="14"/>
        <v>41678</v>
      </c>
      <c r="G352">
        <v>5800</v>
      </c>
      <c r="H352" s="188">
        <f t="shared" si="15"/>
        <v>81200</v>
      </c>
    </row>
    <row r="353" spans="1:8" x14ac:dyDescent="0.25">
      <c r="A353" s="6" t="s">
        <v>306</v>
      </c>
      <c r="B353" s="6" t="s">
        <v>307</v>
      </c>
      <c r="C353" s="6" t="s">
        <v>217</v>
      </c>
      <c r="D353" s="7">
        <v>7</v>
      </c>
      <c r="E353" s="13">
        <v>2977</v>
      </c>
      <c r="F353" s="13">
        <f t="shared" si="14"/>
        <v>20839</v>
      </c>
      <c r="G353">
        <v>5800</v>
      </c>
      <c r="H353" s="188">
        <f t="shared" si="15"/>
        <v>40600</v>
      </c>
    </row>
    <row r="354" spans="1:8" x14ac:dyDescent="0.25">
      <c r="A354" s="6" t="s">
        <v>308</v>
      </c>
      <c r="B354" s="6" t="s">
        <v>309</v>
      </c>
      <c r="C354" s="6" t="s">
        <v>217</v>
      </c>
      <c r="D354" s="7">
        <v>10</v>
      </c>
      <c r="E354" s="13">
        <v>2977</v>
      </c>
      <c r="F354" s="13">
        <f t="shared" si="14"/>
        <v>29770</v>
      </c>
      <c r="G354">
        <v>5800</v>
      </c>
      <c r="H354" s="188">
        <f t="shared" si="15"/>
        <v>58000</v>
      </c>
    </row>
    <row r="355" spans="1:8" x14ac:dyDescent="0.25">
      <c r="A355" s="6" t="s">
        <v>310</v>
      </c>
      <c r="B355" s="6" t="s">
        <v>311</v>
      </c>
      <c r="C355" s="6" t="s">
        <v>217</v>
      </c>
      <c r="D355" s="7">
        <v>5</v>
      </c>
      <c r="E355" s="13">
        <v>2977</v>
      </c>
      <c r="F355" s="13">
        <f t="shared" si="14"/>
        <v>14885</v>
      </c>
      <c r="G355">
        <v>5800</v>
      </c>
      <c r="H355" s="188">
        <f t="shared" si="15"/>
        <v>29000</v>
      </c>
    </row>
    <row r="356" spans="1:8" x14ac:dyDescent="0.25">
      <c r="A356" s="6" t="s">
        <v>312</v>
      </c>
      <c r="B356" s="6" t="s">
        <v>313</v>
      </c>
      <c r="C356" s="6" t="s">
        <v>217</v>
      </c>
      <c r="D356" s="7">
        <v>10</v>
      </c>
      <c r="E356" s="13">
        <v>2977</v>
      </c>
      <c r="F356" s="13">
        <f t="shared" si="14"/>
        <v>29770</v>
      </c>
      <c r="G356">
        <v>5800</v>
      </c>
      <c r="H356" s="188">
        <f t="shared" si="15"/>
        <v>58000</v>
      </c>
    </row>
    <row r="357" spans="1:8" x14ac:dyDescent="0.25">
      <c r="A357" s="6" t="s">
        <v>314</v>
      </c>
      <c r="B357" s="6" t="s">
        <v>315</v>
      </c>
      <c r="C357" s="6" t="s">
        <v>217</v>
      </c>
      <c r="D357" s="7">
        <v>8</v>
      </c>
      <c r="E357" s="13">
        <v>2977</v>
      </c>
      <c r="F357" s="13">
        <f t="shared" si="14"/>
        <v>23816</v>
      </c>
      <c r="G357">
        <v>5800</v>
      </c>
      <c r="H357" s="188">
        <f t="shared" si="15"/>
        <v>46400</v>
      </c>
    </row>
    <row r="358" spans="1:8" x14ac:dyDescent="0.25">
      <c r="A358" s="6" t="s">
        <v>316</v>
      </c>
      <c r="B358" s="6" t="s">
        <v>317</v>
      </c>
      <c r="C358" s="6" t="s">
        <v>217</v>
      </c>
      <c r="D358" s="7">
        <v>10</v>
      </c>
      <c r="E358" s="13">
        <v>2977</v>
      </c>
      <c r="F358" s="13">
        <f t="shared" si="14"/>
        <v>29770</v>
      </c>
      <c r="G358">
        <v>5800</v>
      </c>
      <c r="H358" s="188">
        <f t="shared" si="15"/>
        <v>58000</v>
      </c>
    </row>
    <row r="359" spans="1:8" x14ac:dyDescent="0.25">
      <c r="A359" s="6" t="s">
        <v>318</v>
      </c>
      <c r="B359" s="6" t="s">
        <v>319</v>
      </c>
      <c r="C359" s="6" t="s">
        <v>217</v>
      </c>
      <c r="D359" s="7">
        <v>6</v>
      </c>
      <c r="E359" s="13">
        <v>2977</v>
      </c>
      <c r="F359" s="13">
        <f t="shared" si="14"/>
        <v>17862</v>
      </c>
      <c r="G359">
        <v>5800</v>
      </c>
      <c r="H359" s="188">
        <f t="shared" si="15"/>
        <v>34800</v>
      </c>
    </row>
    <row r="360" spans="1:8" x14ac:dyDescent="0.25">
      <c r="A360" s="6" t="s">
        <v>320</v>
      </c>
      <c r="B360" s="6" t="s">
        <v>321</v>
      </c>
      <c r="C360" s="6" t="s">
        <v>217</v>
      </c>
      <c r="D360" s="7">
        <v>7</v>
      </c>
      <c r="E360" s="13">
        <v>2977</v>
      </c>
      <c r="F360" s="13">
        <f t="shared" si="14"/>
        <v>20839</v>
      </c>
      <c r="G360">
        <v>5800</v>
      </c>
      <c r="H360" s="188">
        <f t="shared" si="15"/>
        <v>40600</v>
      </c>
    </row>
    <row r="361" spans="1:8" x14ac:dyDescent="0.25">
      <c r="A361" s="6" t="s">
        <v>322</v>
      </c>
      <c r="B361" s="6" t="s">
        <v>323</v>
      </c>
      <c r="C361" s="6" t="s">
        <v>217</v>
      </c>
      <c r="D361" s="7">
        <v>15</v>
      </c>
      <c r="E361" s="13">
        <v>2977</v>
      </c>
      <c r="F361" s="13">
        <f t="shared" si="14"/>
        <v>44655</v>
      </c>
      <c r="G361">
        <v>5800</v>
      </c>
      <c r="H361" s="188">
        <f t="shared" si="15"/>
        <v>87000</v>
      </c>
    </row>
    <row r="362" spans="1:8" x14ac:dyDescent="0.25">
      <c r="A362" s="6" t="s">
        <v>324</v>
      </c>
      <c r="B362" s="6" t="s">
        <v>325</v>
      </c>
      <c r="C362" s="6" t="s">
        <v>217</v>
      </c>
      <c r="D362" s="7">
        <v>4</v>
      </c>
      <c r="E362" s="13">
        <v>2977</v>
      </c>
      <c r="F362" s="13">
        <f t="shared" si="14"/>
        <v>11908</v>
      </c>
      <c r="G362">
        <v>5800</v>
      </c>
      <c r="H362" s="188">
        <f t="shared" si="15"/>
        <v>23200</v>
      </c>
    </row>
    <row r="363" spans="1:8" x14ac:dyDescent="0.25">
      <c r="A363" s="6" t="s">
        <v>326</v>
      </c>
      <c r="B363" s="6" t="s">
        <v>327</v>
      </c>
      <c r="C363" s="6" t="s">
        <v>217</v>
      </c>
      <c r="D363" s="7">
        <v>4</v>
      </c>
      <c r="E363" s="13">
        <v>2977</v>
      </c>
      <c r="F363" s="13">
        <f t="shared" si="14"/>
        <v>11908</v>
      </c>
      <c r="G363">
        <v>5800</v>
      </c>
      <c r="H363" s="188">
        <f t="shared" si="15"/>
        <v>23200</v>
      </c>
    </row>
    <row r="364" spans="1:8" x14ac:dyDescent="0.25">
      <c r="A364" s="6" t="s">
        <v>328</v>
      </c>
      <c r="B364" s="6" t="s">
        <v>329</v>
      </c>
      <c r="C364" s="6" t="s">
        <v>217</v>
      </c>
      <c r="D364" s="7">
        <v>12</v>
      </c>
      <c r="E364" s="13">
        <v>2977</v>
      </c>
      <c r="F364" s="13">
        <f t="shared" si="14"/>
        <v>35724</v>
      </c>
      <c r="G364">
        <v>5800</v>
      </c>
      <c r="H364" s="188">
        <f t="shared" si="15"/>
        <v>69600</v>
      </c>
    </row>
    <row r="365" spans="1:8" x14ac:dyDescent="0.25">
      <c r="A365" s="6" t="s">
        <v>368</v>
      </c>
      <c r="B365" s="6" t="s">
        <v>369</v>
      </c>
      <c r="C365" s="6" t="s">
        <v>217</v>
      </c>
      <c r="D365" s="7">
        <v>4</v>
      </c>
      <c r="E365" s="13">
        <v>1597.7</v>
      </c>
      <c r="F365" s="13">
        <f t="shared" si="14"/>
        <v>6390.8</v>
      </c>
      <c r="G365">
        <v>4100</v>
      </c>
      <c r="H365" s="188">
        <f t="shared" si="15"/>
        <v>16400</v>
      </c>
    </row>
    <row r="366" spans="1:8" x14ac:dyDescent="0.25">
      <c r="A366" s="6" t="s">
        <v>370</v>
      </c>
      <c r="B366" s="6" t="s">
        <v>371</v>
      </c>
      <c r="C366" s="6" t="s">
        <v>217</v>
      </c>
      <c r="D366" s="7">
        <v>12</v>
      </c>
      <c r="E366" s="13">
        <v>731</v>
      </c>
      <c r="F366" s="13">
        <f t="shared" si="14"/>
        <v>8772</v>
      </c>
      <c r="G366">
        <v>2200</v>
      </c>
      <c r="H366" s="188">
        <f t="shared" si="15"/>
        <v>26400</v>
      </c>
    </row>
    <row r="367" spans="1:8" x14ac:dyDescent="0.25">
      <c r="A367" s="6" t="s">
        <v>356</v>
      </c>
      <c r="B367" s="6" t="s">
        <v>357</v>
      </c>
      <c r="C367" s="6" t="s">
        <v>217</v>
      </c>
      <c r="D367" s="7">
        <v>4</v>
      </c>
      <c r="E367" s="13">
        <v>1277</v>
      </c>
      <c r="F367" s="13">
        <f t="shared" si="14"/>
        <v>5108</v>
      </c>
      <c r="G367">
        <v>3200</v>
      </c>
      <c r="H367" s="188">
        <f t="shared" si="15"/>
        <v>12800</v>
      </c>
    </row>
    <row r="368" spans="1:8" x14ac:dyDescent="0.25">
      <c r="A368" s="6" t="s">
        <v>358</v>
      </c>
      <c r="B368" s="6" t="s">
        <v>359</v>
      </c>
      <c r="C368" s="6" t="s">
        <v>217</v>
      </c>
      <c r="D368" s="7">
        <v>1</v>
      </c>
      <c r="E368" s="13">
        <v>1277</v>
      </c>
      <c r="F368" s="13">
        <f t="shared" si="14"/>
        <v>1277</v>
      </c>
      <c r="G368">
        <v>3200</v>
      </c>
      <c r="H368" s="188">
        <f t="shared" si="15"/>
        <v>3200</v>
      </c>
    </row>
    <row r="369" spans="1:8" x14ac:dyDescent="0.25">
      <c r="A369" s="6" t="s">
        <v>382</v>
      </c>
      <c r="B369" s="6" t="s">
        <v>383</v>
      </c>
      <c r="C369" s="6" t="s">
        <v>217</v>
      </c>
      <c r="D369" s="7">
        <v>2</v>
      </c>
      <c r="E369" s="13">
        <v>832</v>
      </c>
      <c r="F369" s="13">
        <f t="shared" si="14"/>
        <v>1664</v>
      </c>
      <c r="G369">
        <v>2700</v>
      </c>
      <c r="H369" s="188">
        <f t="shared" si="15"/>
        <v>5400</v>
      </c>
    </row>
    <row r="370" spans="1:8" x14ac:dyDescent="0.25">
      <c r="A370" s="6" t="s">
        <v>372</v>
      </c>
      <c r="B370" s="6" t="s">
        <v>373</v>
      </c>
      <c r="C370" s="6" t="s">
        <v>217</v>
      </c>
      <c r="D370" s="7">
        <v>11</v>
      </c>
      <c r="E370" s="13">
        <v>731</v>
      </c>
      <c r="F370" s="13">
        <f t="shared" si="14"/>
        <v>8041</v>
      </c>
      <c r="G370">
        <v>2000</v>
      </c>
      <c r="H370" s="188">
        <f t="shared" si="15"/>
        <v>22000</v>
      </c>
    </row>
    <row r="371" spans="1:8" x14ac:dyDescent="0.25">
      <c r="A371" s="6" t="s">
        <v>386</v>
      </c>
      <c r="B371" s="6" t="s">
        <v>387</v>
      </c>
      <c r="C371" s="6" t="s">
        <v>217</v>
      </c>
      <c r="D371" s="7">
        <v>3</v>
      </c>
      <c r="E371" s="13">
        <v>1597.7</v>
      </c>
      <c r="F371" s="13">
        <f t="shared" si="14"/>
        <v>4793.1000000000004</v>
      </c>
      <c r="G371">
        <v>3800</v>
      </c>
      <c r="H371" s="188">
        <f t="shared" si="15"/>
        <v>11400</v>
      </c>
    </row>
    <row r="372" spans="1:8" x14ac:dyDescent="0.25">
      <c r="A372" s="6" t="s">
        <v>388</v>
      </c>
      <c r="B372" s="6" t="s">
        <v>389</v>
      </c>
      <c r="C372" s="6" t="s">
        <v>217</v>
      </c>
      <c r="D372" s="7">
        <v>8</v>
      </c>
      <c r="E372" s="13">
        <v>2977</v>
      </c>
      <c r="F372" s="13">
        <f t="shared" ref="F372:F388" si="16">D372*E372</f>
        <v>23816</v>
      </c>
      <c r="G372">
        <v>5800</v>
      </c>
      <c r="H372" s="188">
        <f t="shared" si="15"/>
        <v>46400</v>
      </c>
    </row>
    <row r="373" spans="1:8" x14ac:dyDescent="0.25">
      <c r="A373" s="6" t="s">
        <v>390</v>
      </c>
      <c r="B373" s="6" t="s">
        <v>391</v>
      </c>
      <c r="C373" s="6" t="s">
        <v>217</v>
      </c>
      <c r="D373" s="7">
        <v>39</v>
      </c>
      <c r="E373" s="13">
        <v>1544</v>
      </c>
      <c r="F373" s="13">
        <f t="shared" si="16"/>
        <v>60216</v>
      </c>
      <c r="G373">
        <v>4900</v>
      </c>
      <c r="H373" s="188">
        <f t="shared" si="15"/>
        <v>191100</v>
      </c>
    </row>
    <row r="374" spans="1:8" x14ac:dyDescent="0.25">
      <c r="A374" s="6" t="s">
        <v>330</v>
      </c>
      <c r="B374" s="6" t="s">
        <v>331</v>
      </c>
      <c r="C374" s="6" t="s">
        <v>217</v>
      </c>
      <c r="D374" s="7">
        <v>1</v>
      </c>
      <c r="E374" s="13">
        <v>1277</v>
      </c>
      <c r="F374" s="13">
        <f t="shared" si="16"/>
        <v>1277</v>
      </c>
      <c r="G374">
        <v>3200</v>
      </c>
      <c r="H374" s="188">
        <f t="shared" si="15"/>
        <v>3200</v>
      </c>
    </row>
    <row r="375" spans="1:8" x14ac:dyDescent="0.25">
      <c r="A375" s="6" t="s">
        <v>392</v>
      </c>
      <c r="B375" s="6" t="s">
        <v>393</v>
      </c>
      <c r="C375" s="6" t="s">
        <v>217</v>
      </c>
      <c r="D375" s="7">
        <v>200</v>
      </c>
      <c r="E375" s="13">
        <v>731</v>
      </c>
      <c r="F375" s="13">
        <f t="shared" si="16"/>
        <v>146200</v>
      </c>
      <c r="G375">
        <v>2000</v>
      </c>
      <c r="H375" s="188">
        <f t="shared" si="15"/>
        <v>400000</v>
      </c>
    </row>
    <row r="376" spans="1:8" x14ac:dyDescent="0.25">
      <c r="A376" s="6" t="s">
        <v>332</v>
      </c>
      <c r="B376" s="6" t="s">
        <v>333</v>
      </c>
      <c r="C376" s="6" t="s">
        <v>217</v>
      </c>
      <c r="D376" s="7">
        <v>2</v>
      </c>
      <c r="E376" s="13">
        <v>1277</v>
      </c>
      <c r="F376" s="13">
        <f t="shared" si="16"/>
        <v>2554</v>
      </c>
      <c r="G376">
        <v>3200</v>
      </c>
      <c r="H376" s="188">
        <f t="shared" si="15"/>
        <v>6400</v>
      </c>
    </row>
    <row r="377" spans="1:8" x14ac:dyDescent="0.25">
      <c r="A377" s="6" t="s">
        <v>334</v>
      </c>
      <c r="B377" s="6" t="s">
        <v>335</v>
      </c>
      <c r="C377" s="6" t="s">
        <v>217</v>
      </c>
      <c r="D377" s="7">
        <v>1</v>
      </c>
      <c r="E377" s="13">
        <v>1277</v>
      </c>
      <c r="F377" s="13">
        <f t="shared" si="16"/>
        <v>1277</v>
      </c>
      <c r="G377">
        <v>3200</v>
      </c>
      <c r="H377" s="188">
        <f t="shared" si="15"/>
        <v>3200</v>
      </c>
    </row>
    <row r="378" spans="1:8" x14ac:dyDescent="0.25">
      <c r="A378" s="6" t="s">
        <v>336</v>
      </c>
      <c r="B378" s="6" t="s">
        <v>337</v>
      </c>
      <c r="C378" s="6" t="s">
        <v>217</v>
      </c>
      <c r="D378" s="7">
        <v>1</v>
      </c>
      <c r="E378" s="13">
        <v>1277</v>
      </c>
      <c r="F378" s="13">
        <f t="shared" si="16"/>
        <v>1277</v>
      </c>
      <c r="G378">
        <v>3200</v>
      </c>
      <c r="H378" s="188">
        <f t="shared" si="15"/>
        <v>3200</v>
      </c>
    </row>
    <row r="379" spans="1:8" x14ac:dyDescent="0.25">
      <c r="A379" s="6" t="s">
        <v>338</v>
      </c>
      <c r="B379" s="6" t="s">
        <v>339</v>
      </c>
      <c r="C379" s="6" t="s">
        <v>217</v>
      </c>
      <c r="D379" s="7">
        <v>17</v>
      </c>
      <c r="E379" s="13">
        <v>731</v>
      </c>
      <c r="F379" s="13">
        <f t="shared" si="16"/>
        <v>12427</v>
      </c>
      <c r="G379">
        <v>2000</v>
      </c>
      <c r="H379" s="188">
        <f t="shared" si="15"/>
        <v>34000</v>
      </c>
    </row>
    <row r="380" spans="1:8" x14ac:dyDescent="0.25">
      <c r="A380" s="6" t="s">
        <v>340</v>
      </c>
      <c r="B380" s="6" t="s">
        <v>341</v>
      </c>
      <c r="C380" s="6" t="s">
        <v>217</v>
      </c>
      <c r="D380" s="7">
        <v>8</v>
      </c>
      <c r="E380" s="13">
        <v>1597.7</v>
      </c>
      <c r="F380" s="13">
        <f t="shared" si="16"/>
        <v>12781.6</v>
      </c>
      <c r="G380">
        <v>3800</v>
      </c>
      <c r="H380" s="188">
        <f t="shared" si="15"/>
        <v>30400</v>
      </c>
    </row>
    <row r="381" spans="1:8" x14ac:dyDescent="0.25">
      <c r="A381" s="6" t="s">
        <v>342</v>
      </c>
      <c r="B381" s="6" t="s">
        <v>343</v>
      </c>
      <c r="C381" s="6" t="s">
        <v>217</v>
      </c>
      <c r="D381" s="7">
        <v>7</v>
      </c>
      <c r="E381" s="13">
        <v>2977</v>
      </c>
      <c r="F381" s="13">
        <f t="shared" si="16"/>
        <v>20839</v>
      </c>
      <c r="G381">
        <v>5800</v>
      </c>
      <c r="H381" s="188">
        <f t="shared" si="15"/>
        <v>40600</v>
      </c>
    </row>
    <row r="382" spans="1:8" x14ac:dyDescent="0.25">
      <c r="A382" s="6" t="s">
        <v>344</v>
      </c>
      <c r="B382" s="6" t="s">
        <v>345</v>
      </c>
      <c r="C382" s="6" t="s">
        <v>217</v>
      </c>
      <c r="D382" s="7">
        <v>15</v>
      </c>
      <c r="E382" s="13">
        <v>832</v>
      </c>
      <c r="F382" s="13">
        <f t="shared" si="16"/>
        <v>12480</v>
      </c>
      <c r="G382">
        <v>2700</v>
      </c>
      <c r="H382" s="188">
        <f t="shared" si="15"/>
        <v>40500</v>
      </c>
    </row>
    <row r="383" spans="1:8" x14ac:dyDescent="0.25">
      <c r="A383" s="6" t="s">
        <v>346</v>
      </c>
      <c r="B383" s="6" t="s">
        <v>347</v>
      </c>
      <c r="C383" s="6" t="s">
        <v>217</v>
      </c>
      <c r="D383" s="7">
        <v>3</v>
      </c>
      <c r="E383" s="13">
        <v>1544</v>
      </c>
      <c r="F383" s="13">
        <f t="shared" si="16"/>
        <v>4632</v>
      </c>
      <c r="G383">
        <v>4900</v>
      </c>
      <c r="H383" s="188">
        <f t="shared" si="15"/>
        <v>14700</v>
      </c>
    </row>
    <row r="384" spans="1:8" x14ac:dyDescent="0.25">
      <c r="A384" s="6" t="s">
        <v>350</v>
      </c>
      <c r="B384" s="6" t="s">
        <v>351</v>
      </c>
      <c r="C384" s="6" t="s">
        <v>217</v>
      </c>
      <c r="D384" s="7">
        <v>200</v>
      </c>
      <c r="E384" s="13">
        <v>731</v>
      </c>
      <c r="F384" s="13">
        <f t="shared" si="16"/>
        <v>146200</v>
      </c>
      <c r="G384">
        <v>2000</v>
      </c>
      <c r="H384" s="188">
        <f t="shared" si="15"/>
        <v>400000</v>
      </c>
    </row>
    <row r="385" spans="1:8" x14ac:dyDescent="0.25">
      <c r="A385" s="6" t="s">
        <v>352</v>
      </c>
      <c r="B385" s="6" t="s">
        <v>353</v>
      </c>
      <c r="C385" s="6" t="s">
        <v>217</v>
      </c>
      <c r="D385" s="7">
        <v>200</v>
      </c>
      <c r="E385" s="13">
        <v>731</v>
      </c>
      <c r="F385" s="13">
        <f t="shared" si="16"/>
        <v>146200</v>
      </c>
      <c r="G385">
        <v>2000</v>
      </c>
      <c r="H385" s="188">
        <f t="shared" si="15"/>
        <v>400000</v>
      </c>
    </row>
    <row r="386" spans="1:8" x14ac:dyDescent="0.25">
      <c r="A386" s="6" t="s">
        <v>354</v>
      </c>
      <c r="B386" s="6" t="s">
        <v>355</v>
      </c>
      <c r="C386" s="6" t="s">
        <v>217</v>
      </c>
      <c r="D386" s="7">
        <v>39</v>
      </c>
      <c r="E386" s="13">
        <v>832</v>
      </c>
      <c r="F386" s="13">
        <f t="shared" si="16"/>
        <v>32448</v>
      </c>
      <c r="G386">
        <v>2700</v>
      </c>
      <c r="H386" s="188">
        <f t="shared" si="15"/>
        <v>105300</v>
      </c>
    </row>
    <row r="387" spans="1:8" x14ac:dyDescent="0.25">
      <c r="A387" s="6" t="s">
        <v>374</v>
      </c>
      <c r="B387" s="6" t="s">
        <v>375</v>
      </c>
      <c r="C387" s="6" t="s">
        <v>217</v>
      </c>
      <c r="D387" s="7">
        <v>3</v>
      </c>
      <c r="E387" s="13">
        <v>731</v>
      </c>
      <c r="F387" s="13">
        <f t="shared" si="16"/>
        <v>2193</v>
      </c>
      <c r="G387">
        <v>2200</v>
      </c>
      <c r="H387" s="188">
        <f t="shared" si="15"/>
        <v>6600</v>
      </c>
    </row>
    <row r="388" spans="1:8" x14ac:dyDescent="0.25">
      <c r="A388" s="6" t="s">
        <v>376</v>
      </c>
      <c r="B388" s="6" t="s">
        <v>377</v>
      </c>
      <c r="C388" s="6" t="s">
        <v>217</v>
      </c>
      <c r="D388" s="7">
        <v>3</v>
      </c>
      <c r="E388" s="13">
        <v>1597.7</v>
      </c>
      <c r="F388" s="13">
        <f t="shared" si="16"/>
        <v>4793.1000000000004</v>
      </c>
      <c r="G388">
        <v>4100</v>
      </c>
      <c r="H388" s="188">
        <f t="shared" si="15"/>
        <v>12300</v>
      </c>
    </row>
    <row r="389" spans="1:8" x14ac:dyDescent="0.25">
      <c r="A389" s="89">
        <v>45627</v>
      </c>
      <c r="B389" s="93"/>
      <c r="C389" s="93"/>
      <c r="D389" s="93"/>
      <c r="E389" s="94"/>
      <c r="F389" s="94"/>
      <c r="H389" s="188">
        <f t="shared" si="15"/>
        <v>0</v>
      </c>
    </row>
    <row r="390" spans="1:8" x14ac:dyDescent="0.25">
      <c r="A390" s="6" t="s">
        <v>215</v>
      </c>
      <c r="B390" s="6" t="s">
        <v>216</v>
      </c>
      <c r="C390" s="6" t="s">
        <v>217</v>
      </c>
      <c r="D390" s="7">
        <v>26</v>
      </c>
      <c r="E390" s="14">
        <v>731</v>
      </c>
      <c r="F390" s="13">
        <f>E390*D390</f>
        <v>19006</v>
      </c>
      <c r="G390">
        <v>2000</v>
      </c>
      <c r="H390" s="188">
        <f t="shared" si="15"/>
        <v>52000</v>
      </c>
    </row>
    <row r="391" spans="1:8" x14ac:dyDescent="0.25">
      <c r="A391" s="6" t="s">
        <v>218</v>
      </c>
      <c r="B391" s="6" t="s">
        <v>219</v>
      </c>
      <c r="C391" s="6" t="s">
        <v>217</v>
      </c>
      <c r="D391" s="7">
        <v>31</v>
      </c>
      <c r="E391" s="14">
        <v>731</v>
      </c>
      <c r="F391" s="13">
        <f t="shared" ref="F391:F454" si="17">E391*D391</f>
        <v>22661</v>
      </c>
      <c r="G391">
        <v>2000</v>
      </c>
      <c r="H391" s="188">
        <f t="shared" si="15"/>
        <v>62000</v>
      </c>
    </row>
    <row r="392" spans="1:8" x14ac:dyDescent="0.25">
      <c r="A392" s="6" t="s">
        <v>220</v>
      </c>
      <c r="B392" s="6" t="s">
        <v>221</v>
      </c>
      <c r="C392" s="6" t="s">
        <v>217</v>
      </c>
      <c r="D392" s="7">
        <v>20</v>
      </c>
      <c r="E392" s="14">
        <v>731</v>
      </c>
      <c r="F392" s="13">
        <f t="shared" si="17"/>
        <v>14620</v>
      </c>
      <c r="G392">
        <v>2000</v>
      </c>
      <c r="H392" s="188">
        <f t="shared" si="15"/>
        <v>40000</v>
      </c>
    </row>
    <row r="393" spans="1:8" x14ac:dyDescent="0.25">
      <c r="A393" s="6" t="s">
        <v>222</v>
      </c>
      <c r="B393" s="6" t="s">
        <v>223</v>
      </c>
      <c r="C393" s="6" t="s">
        <v>217</v>
      </c>
      <c r="D393" s="7">
        <v>32</v>
      </c>
      <c r="E393" s="14">
        <v>731</v>
      </c>
      <c r="F393" s="13">
        <f t="shared" si="17"/>
        <v>23392</v>
      </c>
      <c r="G393">
        <v>2000</v>
      </c>
      <c r="H393" s="188">
        <f t="shared" si="15"/>
        <v>64000</v>
      </c>
    </row>
    <row r="394" spans="1:8" x14ac:dyDescent="0.25">
      <c r="A394" s="6" t="s">
        <v>224</v>
      </c>
      <c r="B394" s="6" t="s">
        <v>225</v>
      </c>
      <c r="C394" s="6" t="s">
        <v>217</v>
      </c>
      <c r="D394" s="7">
        <v>41</v>
      </c>
      <c r="E394" s="14">
        <v>731</v>
      </c>
      <c r="F394" s="13">
        <f t="shared" si="17"/>
        <v>29971</v>
      </c>
      <c r="G394">
        <v>2000</v>
      </c>
      <c r="H394" s="188">
        <f t="shared" ref="H394:H457" si="18">G394*D394</f>
        <v>82000</v>
      </c>
    </row>
    <row r="395" spans="1:8" x14ac:dyDescent="0.25">
      <c r="A395" s="6" t="s">
        <v>226</v>
      </c>
      <c r="B395" s="6" t="s">
        <v>227</v>
      </c>
      <c r="C395" s="6" t="s">
        <v>217</v>
      </c>
      <c r="D395" s="7">
        <v>26</v>
      </c>
      <c r="E395" s="14">
        <v>731</v>
      </c>
      <c r="F395" s="13">
        <f t="shared" si="17"/>
        <v>19006</v>
      </c>
      <c r="G395">
        <v>2000</v>
      </c>
      <c r="H395" s="188">
        <f t="shared" si="18"/>
        <v>52000</v>
      </c>
    </row>
    <row r="396" spans="1:8" x14ac:dyDescent="0.25">
      <c r="A396" s="6" t="s">
        <v>228</v>
      </c>
      <c r="B396" s="6" t="s">
        <v>229</v>
      </c>
      <c r="C396" s="6" t="s">
        <v>217</v>
      </c>
      <c r="D396" s="7">
        <v>31</v>
      </c>
      <c r="E396" s="14">
        <v>731</v>
      </c>
      <c r="F396" s="13">
        <f t="shared" si="17"/>
        <v>22661</v>
      </c>
      <c r="G396">
        <v>2000</v>
      </c>
      <c r="H396" s="188">
        <f t="shared" si="18"/>
        <v>62000</v>
      </c>
    </row>
    <row r="397" spans="1:8" x14ac:dyDescent="0.25">
      <c r="A397" s="6" t="s">
        <v>230</v>
      </c>
      <c r="B397" s="6" t="s">
        <v>231</v>
      </c>
      <c r="C397" s="6" t="s">
        <v>217</v>
      </c>
      <c r="D397" s="7">
        <v>34</v>
      </c>
      <c r="E397" s="14">
        <v>731</v>
      </c>
      <c r="F397" s="13">
        <f t="shared" si="17"/>
        <v>24854</v>
      </c>
      <c r="G397">
        <v>2000</v>
      </c>
      <c r="H397" s="188">
        <f t="shared" si="18"/>
        <v>68000</v>
      </c>
    </row>
    <row r="398" spans="1:8" x14ac:dyDescent="0.25">
      <c r="A398" s="6" t="s">
        <v>232</v>
      </c>
      <c r="B398" s="6" t="s">
        <v>233</v>
      </c>
      <c r="C398" s="6" t="s">
        <v>217</v>
      </c>
      <c r="D398" s="7">
        <v>32</v>
      </c>
      <c r="E398" s="14">
        <v>731</v>
      </c>
      <c r="F398" s="13">
        <f t="shared" si="17"/>
        <v>23392</v>
      </c>
      <c r="G398">
        <v>2000</v>
      </c>
      <c r="H398" s="188">
        <f t="shared" si="18"/>
        <v>64000</v>
      </c>
    </row>
    <row r="399" spans="1:8" x14ac:dyDescent="0.25">
      <c r="A399" s="6" t="s">
        <v>234</v>
      </c>
      <c r="B399" s="6" t="s">
        <v>235</v>
      </c>
      <c r="C399" s="6" t="s">
        <v>217</v>
      </c>
      <c r="D399" s="7">
        <v>27</v>
      </c>
      <c r="E399" s="14">
        <v>731</v>
      </c>
      <c r="F399" s="13">
        <f t="shared" si="17"/>
        <v>19737</v>
      </c>
      <c r="G399">
        <v>2000</v>
      </c>
      <c r="H399" s="188">
        <f t="shared" si="18"/>
        <v>54000</v>
      </c>
    </row>
    <row r="400" spans="1:8" x14ac:dyDescent="0.25">
      <c r="A400" s="6" t="s">
        <v>236</v>
      </c>
      <c r="B400" s="6" t="s">
        <v>237</v>
      </c>
      <c r="C400" s="6" t="s">
        <v>217</v>
      </c>
      <c r="D400" s="7">
        <v>55</v>
      </c>
      <c r="E400" s="14">
        <v>731</v>
      </c>
      <c r="F400" s="13">
        <f t="shared" si="17"/>
        <v>40205</v>
      </c>
      <c r="G400">
        <v>2000</v>
      </c>
      <c r="H400" s="188">
        <f t="shared" si="18"/>
        <v>110000</v>
      </c>
    </row>
    <row r="401" spans="1:8" x14ac:dyDescent="0.25">
      <c r="A401" s="6" t="s">
        <v>238</v>
      </c>
      <c r="B401" s="6" t="s">
        <v>239</v>
      </c>
      <c r="C401" s="6" t="s">
        <v>217</v>
      </c>
      <c r="D401" s="7">
        <v>21</v>
      </c>
      <c r="E401" s="14">
        <v>731</v>
      </c>
      <c r="F401" s="13">
        <f t="shared" si="17"/>
        <v>15351</v>
      </c>
      <c r="G401">
        <v>2000</v>
      </c>
      <c r="H401" s="188">
        <f t="shared" si="18"/>
        <v>42000</v>
      </c>
    </row>
    <row r="402" spans="1:8" x14ac:dyDescent="0.25">
      <c r="A402" s="6" t="s">
        <v>240</v>
      </c>
      <c r="B402" s="6" t="s">
        <v>241</v>
      </c>
      <c r="C402" s="6" t="s">
        <v>217</v>
      </c>
      <c r="D402" s="7">
        <v>16</v>
      </c>
      <c r="E402" s="14">
        <v>731</v>
      </c>
      <c r="F402" s="13">
        <f t="shared" si="17"/>
        <v>11696</v>
      </c>
      <c r="G402">
        <v>2000</v>
      </c>
      <c r="H402" s="188">
        <f t="shared" si="18"/>
        <v>32000</v>
      </c>
    </row>
    <row r="403" spans="1:8" x14ac:dyDescent="0.25">
      <c r="A403" s="6" t="s">
        <v>242</v>
      </c>
      <c r="B403" s="6" t="s">
        <v>243</v>
      </c>
      <c r="C403" s="6" t="s">
        <v>217</v>
      </c>
      <c r="D403" s="7">
        <v>34</v>
      </c>
      <c r="E403" s="14">
        <v>731</v>
      </c>
      <c r="F403" s="13">
        <f t="shared" si="17"/>
        <v>24854</v>
      </c>
      <c r="G403">
        <v>2000</v>
      </c>
      <c r="H403" s="188">
        <f t="shared" si="18"/>
        <v>68000</v>
      </c>
    </row>
    <row r="404" spans="1:8" x14ac:dyDescent="0.25">
      <c r="A404" s="6" t="s">
        <v>244</v>
      </c>
      <c r="B404" s="6" t="s">
        <v>245</v>
      </c>
      <c r="C404" s="6" t="s">
        <v>217</v>
      </c>
      <c r="D404" s="7">
        <v>15</v>
      </c>
      <c r="E404" s="14">
        <v>1597.7</v>
      </c>
      <c r="F404" s="13">
        <f t="shared" si="17"/>
        <v>23965.5</v>
      </c>
      <c r="G404">
        <v>3800</v>
      </c>
      <c r="H404" s="188">
        <f t="shared" si="18"/>
        <v>57000</v>
      </c>
    </row>
    <row r="405" spans="1:8" x14ac:dyDescent="0.25">
      <c r="A405" s="6" t="s">
        <v>246</v>
      </c>
      <c r="B405" s="6" t="s">
        <v>247</v>
      </c>
      <c r="C405" s="6" t="s">
        <v>217</v>
      </c>
      <c r="D405" s="7">
        <v>13</v>
      </c>
      <c r="E405" s="14">
        <v>1597.7</v>
      </c>
      <c r="F405" s="13">
        <f t="shared" si="17"/>
        <v>20770.100000000002</v>
      </c>
      <c r="G405">
        <v>3800</v>
      </c>
      <c r="H405" s="188">
        <f t="shared" si="18"/>
        <v>49400</v>
      </c>
    </row>
    <row r="406" spans="1:8" x14ac:dyDescent="0.25">
      <c r="A406" s="6" t="s">
        <v>248</v>
      </c>
      <c r="B406" s="6" t="s">
        <v>249</v>
      </c>
      <c r="C406" s="6" t="s">
        <v>217</v>
      </c>
      <c r="D406" s="7">
        <v>10</v>
      </c>
      <c r="E406" s="14">
        <v>1597.7</v>
      </c>
      <c r="F406" s="13">
        <f t="shared" si="17"/>
        <v>15977</v>
      </c>
      <c r="G406">
        <v>3800</v>
      </c>
      <c r="H406" s="188">
        <f t="shared" si="18"/>
        <v>38000</v>
      </c>
    </row>
    <row r="407" spans="1:8" x14ac:dyDescent="0.25">
      <c r="A407" s="6" t="s">
        <v>250</v>
      </c>
      <c r="B407" s="6" t="s">
        <v>251</v>
      </c>
      <c r="C407" s="6" t="s">
        <v>217</v>
      </c>
      <c r="D407" s="7">
        <v>25</v>
      </c>
      <c r="E407" s="14">
        <v>1597.7</v>
      </c>
      <c r="F407" s="13">
        <f t="shared" si="17"/>
        <v>39942.5</v>
      </c>
      <c r="G407">
        <v>3800</v>
      </c>
      <c r="H407" s="188">
        <f t="shared" si="18"/>
        <v>95000</v>
      </c>
    </row>
    <row r="408" spans="1:8" x14ac:dyDescent="0.25">
      <c r="A408" s="6" t="s">
        <v>252</v>
      </c>
      <c r="B408" s="6" t="s">
        <v>253</v>
      </c>
      <c r="C408" s="6" t="s">
        <v>217</v>
      </c>
      <c r="D408" s="7">
        <v>16</v>
      </c>
      <c r="E408" s="14">
        <v>1597.7</v>
      </c>
      <c r="F408" s="13">
        <f t="shared" si="17"/>
        <v>25563.200000000001</v>
      </c>
      <c r="G408">
        <v>3800</v>
      </c>
      <c r="H408" s="188">
        <f t="shared" si="18"/>
        <v>60800</v>
      </c>
    </row>
    <row r="409" spans="1:8" x14ac:dyDescent="0.25">
      <c r="A409" s="6" t="s">
        <v>254</v>
      </c>
      <c r="B409" s="6" t="s">
        <v>255</v>
      </c>
      <c r="C409" s="6" t="s">
        <v>217</v>
      </c>
      <c r="D409" s="7">
        <v>18</v>
      </c>
      <c r="E409" s="14">
        <v>1597.7</v>
      </c>
      <c r="F409" s="13">
        <f t="shared" si="17"/>
        <v>28758.600000000002</v>
      </c>
      <c r="G409">
        <v>3800</v>
      </c>
      <c r="H409" s="188">
        <f t="shared" si="18"/>
        <v>68400</v>
      </c>
    </row>
    <row r="410" spans="1:8" x14ac:dyDescent="0.25">
      <c r="A410" s="6" t="s">
        <v>256</v>
      </c>
      <c r="B410" s="6" t="s">
        <v>257</v>
      </c>
      <c r="C410" s="6" t="s">
        <v>217</v>
      </c>
      <c r="D410" s="7">
        <v>14</v>
      </c>
      <c r="E410" s="14">
        <v>1597.7</v>
      </c>
      <c r="F410" s="13">
        <f t="shared" si="17"/>
        <v>22367.8</v>
      </c>
      <c r="G410">
        <v>3800</v>
      </c>
      <c r="H410" s="188">
        <f t="shared" si="18"/>
        <v>53200</v>
      </c>
    </row>
    <row r="411" spans="1:8" x14ac:dyDescent="0.25">
      <c r="A411" s="6" t="s">
        <v>258</v>
      </c>
      <c r="B411" s="6" t="s">
        <v>259</v>
      </c>
      <c r="C411" s="6" t="s">
        <v>217</v>
      </c>
      <c r="D411" s="7">
        <v>9</v>
      </c>
      <c r="E411" s="14">
        <v>1597.7</v>
      </c>
      <c r="F411" s="13">
        <f t="shared" si="17"/>
        <v>14379.300000000001</v>
      </c>
      <c r="G411">
        <v>3800</v>
      </c>
      <c r="H411" s="188">
        <f t="shared" si="18"/>
        <v>34200</v>
      </c>
    </row>
    <row r="412" spans="1:8" x14ac:dyDescent="0.25">
      <c r="A412" s="6" t="s">
        <v>260</v>
      </c>
      <c r="B412" s="6" t="s">
        <v>261</v>
      </c>
      <c r="C412" s="6" t="s">
        <v>217</v>
      </c>
      <c r="D412" s="7">
        <v>14</v>
      </c>
      <c r="E412" s="14">
        <v>1597.7</v>
      </c>
      <c r="F412" s="13">
        <f t="shared" si="17"/>
        <v>22367.8</v>
      </c>
      <c r="G412">
        <v>3800</v>
      </c>
      <c r="H412" s="188">
        <f t="shared" si="18"/>
        <v>53200</v>
      </c>
    </row>
    <row r="413" spans="1:8" x14ac:dyDescent="0.25">
      <c r="A413" s="6" t="s">
        <v>262</v>
      </c>
      <c r="B413" s="6" t="s">
        <v>263</v>
      </c>
      <c r="C413" s="6" t="s">
        <v>217</v>
      </c>
      <c r="D413" s="7">
        <v>13</v>
      </c>
      <c r="E413" s="14">
        <v>1597.7</v>
      </c>
      <c r="F413" s="13">
        <f t="shared" si="17"/>
        <v>20770.100000000002</v>
      </c>
      <c r="G413">
        <v>3800</v>
      </c>
      <c r="H413" s="188">
        <f t="shared" si="18"/>
        <v>49400</v>
      </c>
    </row>
    <row r="414" spans="1:8" x14ac:dyDescent="0.25">
      <c r="A414" s="6" t="s">
        <v>264</v>
      </c>
      <c r="B414" s="6" t="s">
        <v>265</v>
      </c>
      <c r="C414" s="6" t="s">
        <v>217</v>
      </c>
      <c r="D414" s="7">
        <v>21</v>
      </c>
      <c r="E414" s="14">
        <v>1597.7</v>
      </c>
      <c r="F414" s="13">
        <f t="shared" si="17"/>
        <v>33551.700000000004</v>
      </c>
      <c r="G414">
        <v>3800</v>
      </c>
      <c r="H414" s="188">
        <f t="shared" si="18"/>
        <v>79800</v>
      </c>
    </row>
    <row r="415" spans="1:8" x14ac:dyDescent="0.25">
      <c r="A415" s="6" t="s">
        <v>266</v>
      </c>
      <c r="B415" s="6" t="s">
        <v>267</v>
      </c>
      <c r="C415" s="6" t="s">
        <v>217</v>
      </c>
      <c r="D415" s="7">
        <v>11</v>
      </c>
      <c r="E415" s="14">
        <v>1597.7</v>
      </c>
      <c r="F415" s="13">
        <f t="shared" si="17"/>
        <v>17574.7</v>
      </c>
      <c r="G415">
        <v>3800</v>
      </c>
      <c r="H415" s="188">
        <f t="shared" si="18"/>
        <v>41800</v>
      </c>
    </row>
    <row r="416" spans="1:8" x14ac:dyDescent="0.25">
      <c r="A416" s="6" t="s">
        <v>268</v>
      </c>
      <c r="B416" s="6" t="s">
        <v>269</v>
      </c>
      <c r="C416" s="6" t="s">
        <v>217</v>
      </c>
      <c r="D416" s="7">
        <v>3</v>
      </c>
      <c r="E416" s="14">
        <v>1597.7</v>
      </c>
      <c r="F416" s="13">
        <f t="shared" si="17"/>
        <v>4793.1000000000004</v>
      </c>
      <c r="G416">
        <v>3800</v>
      </c>
      <c r="H416" s="188">
        <f t="shared" si="18"/>
        <v>11400</v>
      </c>
    </row>
    <row r="417" spans="1:8" x14ac:dyDescent="0.25">
      <c r="A417" s="6" t="s">
        <v>270</v>
      </c>
      <c r="B417" s="6" t="s">
        <v>271</v>
      </c>
      <c r="C417" s="6" t="s">
        <v>217</v>
      </c>
      <c r="D417" s="7">
        <v>19</v>
      </c>
      <c r="E417" s="14">
        <v>1597.7</v>
      </c>
      <c r="F417" s="13">
        <f t="shared" si="17"/>
        <v>30356.3</v>
      </c>
      <c r="G417">
        <v>3800</v>
      </c>
      <c r="H417" s="188">
        <f t="shared" si="18"/>
        <v>72200</v>
      </c>
    </row>
    <row r="418" spans="1:8" x14ac:dyDescent="0.25">
      <c r="A418" s="6" t="s">
        <v>272</v>
      </c>
      <c r="B418" s="6" t="s">
        <v>273</v>
      </c>
      <c r="C418" s="6" t="s">
        <v>217</v>
      </c>
      <c r="D418" s="7">
        <v>18</v>
      </c>
      <c r="E418" s="14">
        <v>832</v>
      </c>
      <c r="F418" s="13">
        <f t="shared" si="17"/>
        <v>14976</v>
      </c>
      <c r="G418">
        <v>2700</v>
      </c>
      <c r="H418" s="188">
        <f t="shared" si="18"/>
        <v>48600</v>
      </c>
    </row>
    <row r="419" spans="1:8" x14ac:dyDescent="0.25">
      <c r="A419" s="6" t="s">
        <v>274</v>
      </c>
      <c r="B419" s="6" t="s">
        <v>275</v>
      </c>
      <c r="C419" s="6" t="s">
        <v>217</v>
      </c>
      <c r="D419" s="7">
        <v>32</v>
      </c>
      <c r="E419" s="14">
        <v>832</v>
      </c>
      <c r="F419" s="13">
        <f t="shared" si="17"/>
        <v>26624</v>
      </c>
      <c r="G419">
        <v>2700</v>
      </c>
      <c r="H419" s="188">
        <f t="shared" si="18"/>
        <v>86400</v>
      </c>
    </row>
    <row r="420" spans="1:8" x14ac:dyDescent="0.25">
      <c r="A420" s="6" t="s">
        <v>276</v>
      </c>
      <c r="B420" s="6" t="s">
        <v>277</v>
      </c>
      <c r="C420" s="6" t="s">
        <v>217</v>
      </c>
      <c r="D420" s="7">
        <v>25</v>
      </c>
      <c r="E420" s="14">
        <v>832</v>
      </c>
      <c r="F420" s="13">
        <f t="shared" si="17"/>
        <v>20800</v>
      </c>
      <c r="G420">
        <v>2700</v>
      </c>
      <c r="H420" s="188">
        <f t="shared" si="18"/>
        <v>67500</v>
      </c>
    </row>
    <row r="421" spans="1:8" x14ac:dyDescent="0.25">
      <c r="A421" s="6" t="s">
        <v>278</v>
      </c>
      <c r="B421" s="6" t="s">
        <v>279</v>
      </c>
      <c r="C421" s="6" t="s">
        <v>217</v>
      </c>
      <c r="D421" s="7">
        <v>21</v>
      </c>
      <c r="E421" s="14">
        <v>832</v>
      </c>
      <c r="F421" s="13">
        <f t="shared" si="17"/>
        <v>17472</v>
      </c>
      <c r="G421">
        <v>2700</v>
      </c>
      <c r="H421" s="188">
        <f t="shared" si="18"/>
        <v>56700</v>
      </c>
    </row>
    <row r="422" spans="1:8" x14ac:dyDescent="0.25">
      <c r="A422" s="6" t="s">
        <v>280</v>
      </c>
      <c r="B422" s="6" t="s">
        <v>281</v>
      </c>
      <c r="C422" s="6" t="s">
        <v>217</v>
      </c>
      <c r="D422" s="7">
        <v>25</v>
      </c>
      <c r="E422" s="14">
        <v>832</v>
      </c>
      <c r="F422" s="13">
        <f t="shared" si="17"/>
        <v>20800</v>
      </c>
      <c r="G422">
        <v>2700</v>
      </c>
      <c r="H422" s="188">
        <f t="shared" si="18"/>
        <v>67500</v>
      </c>
    </row>
    <row r="423" spans="1:8" x14ac:dyDescent="0.25">
      <c r="A423" s="6" t="s">
        <v>282</v>
      </c>
      <c r="B423" s="6" t="s">
        <v>283</v>
      </c>
      <c r="C423" s="6" t="s">
        <v>217</v>
      </c>
      <c r="D423" s="7">
        <v>19</v>
      </c>
      <c r="E423" s="14">
        <v>832</v>
      </c>
      <c r="F423" s="13">
        <f t="shared" si="17"/>
        <v>15808</v>
      </c>
      <c r="G423">
        <v>2700</v>
      </c>
      <c r="H423" s="188">
        <f t="shared" si="18"/>
        <v>51300</v>
      </c>
    </row>
    <row r="424" spans="1:8" x14ac:dyDescent="0.25">
      <c r="A424" s="6" t="s">
        <v>284</v>
      </c>
      <c r="B424" s="6" t="s">
        <v>285</v>
      </c>
      <c r="C424" s="6" t="s">
        <v>217</v>
      </c>
      <c r="D424" s="7">
        <v>27</v>
      </c>
      <c r="E424" s="14">
        <v>832</v>
      </c>
      <c r="F424" s="13">
        <f t="shared" si="17"/>
        <v>22464</v>
      </c>
      <c r="G424">
        <v>2700</v>
      </c>
      <c r="H424" s="188">
        <f t="shared" si="18"/>
        <v>72900</v>
      </c>
    </row>
    <row r="425" spans="1:8" x14ac:dyDescent="0.25">
      <c r="A425" s="6" t="s">
        <v>286</v>
      </c>
      <c r="B425" s="6" t="s">
        <v>287</v>
      </c>
      <c r="C425" s="6" t="s">
        <v>217</v>
      </c>
      <c r="D425" s="7">
        <v>34</v>
      </c>
      <c r="E425" s="14">
        <v>832</v>
      </c>
      <c r="F425" s="13">
        <f t="shared" si="17"/>
        <v>28288</v>
      </c>
      <c r="G425">
        <v>2700</v>
      </c>
      <c r="H425" s="188">
        <f t="shared" si="18"/>
        <v>91800</v>
      </c>
    </row>
    <row r="426" spans="1:8" x14ac:dyDescent="0.25">
      <c r="A426" s="6" t="s">
        <v>288</v>
      </c>
      <c r="B426" s="6" t="s">
        <v>289</v>
      </c>
      <c r="C426" s="6" t="s">
        <v>217</v>
      </c>
      <c r="D426" s="7">
        <v>9</v>
      </c>
      <c r="E426" s="14">
        <v>1544</v>
      </c>
      <c r="F426" s="13">
        <f t="shared" si="17"/>
        <v>13896</v>
      </c>
      <c r="G426">
        <v>4900</v>
      </c>
      <c r="H426" s="188">
        <f t="shared" si="18"/>
        <v>44100</v>
      </c>
    </row>
    <row r="427" spans="1:8" x14ac:dyDescent="0.25">
      <c r="A427" s="6" t="s">
        <v>290</v>
      </c>
      <c r="B427" s="6" t="s">
        <v>291</v>
      </c>
      <c r="C427" s="6" t="s">
        <v>217</v>
      </c>
      <c r="D427" s="7">
        <v>9</v>
      </c>
      <c r="E427" s="14">
        <v>1544</v>
      </c>
      <c r="F427" s="13">
        <f t="shared" si="17"/>
        <v>13896</v>
      </c>
      <c r="G427">
        <v>4900</v>
      </c>
      <c r="H427" s="188">
        <f t="shared" si="18"/>
        <v>44100</v>
      </c>
    </row>
    <row r="428" spans="1:8" x14ac:dyDescent="0.25">
      <c r="A428" s="6" t="s">
        <v>292</v>
      </c>
      <c r="B428" s="6" t="s">
        <v>293</v>
      </c>
      <c r="C428" s="6" t="s">
        <v>217</v>
      </c>
      <c r="D428" s="7">
        <v>11</v>
      </c>
      <c r="E428" s="14">
        <v>1544</v>
      </c>
      <c r="F428" s="13">
        <f t="shared" si="17"/>
        <v>16984</v>
      </c>
      <c r="G428">
        <v>4900</v>
      </c>
      <c r="H428" s="188">
        <f t="shared" si="18"/>
        <v>53900</v>
      </c>
    </row>
    <row r="429" spans="1:8" x14ac:dyDescent="0.25">
      <c r="A429" s="6" t="s">
        <v>294</v>
      </c>
      <c r="B429" s="6" t="s">
        <v>295</v>
      </c>
      <c r="C429" s="6" t="s">
        <v>217</v>
      </c>
      <c r="D429" s="7">
        <v>7</v>
      </c>
      <c r="E429" s="14">
        <v>1544</v>
      </c>
      <c r="F429" s="13">
        <f t="shared" si="17"/>
        <v>10808</v>
      </c>
      <c r="G429">
        <v>4900</v>
      </c>
      <c r="H429" s="188">
        <f t="shared" si="18"/>
        <v>34300</v>
      </c>
    </row>
    <row r="430" spans="1:8" x14ac:dyDescent="0.25">
      <c r="A430" s="6" t="s">
        <v>296</v>
      </c>
      <c r="B430" s="6" t="s">
        <v>297</v>
      </c>
      <c r="C430" s="6" t="s">
        <v>217</v>
      </c>
      <c r="D430" s="7">
        <v>10</v>
      </c>
      <c r="E430" s="14">
        <v>1544</v>
      </c>
      <c r="F430" s="13">
        <f t="shared" si="17"/>
        <v>15440</v>
      </c>
      <c r="G430">
        <v>4900</v>
      </c>
      <c r="H430" s="188">
        <f t="shared" si="18"/>
        <v>49000</v>
      </c>
    </row>
    <row r="431" spans="1:8" x14ac:dyDescent="0.25">
      <c r="A431" s="6" t="s">
        <v>298</v>
      </c>
      <c r="B431" s="6" t="s">
        <v>299</v>
      </c>
      <c r="C431" s="6" t="s">
        <v>217</v>
      </c>
      <c r="D431" s="7">
        <v>12</v>
      </c>
      <c r="E431" s="14">
        <v>1544</v>
      </c>
      <c r="F431" s="13">
        <f t="shared" si="17"/>
        <v>18528</v>
      </c>
      <c r="G431">
        <v>4900</v>
      </c>
      <c r="H431" s="188">
        <f t="shared" si="18"/>
        <v>58800</v>
      </c>
    </row>
    <row r="432" spans="1:8" x14ac:dyDescent="0.25">
      <c r="A432" s="6" t="s">
        <v>300</v>
      </c>
      <c r="B432" s="6" t="s">
        <v>301</v>
      </c>
      <c r="C432" s="6" t="s">
        <v>217</v>
      </c>
      <c r="D432" s="7">
        <v>10</v>
      </c>
      <c r="E432" s="14">
        <v>1544</v>
      </c>
      <c r="F432" s="13">
        <f t="shared" si="17"/>
        <v>15440</v>
      </c>
      <c r="G432">
        <v>4900</v>
      </c>
      <c r="H432" s="188">
        <f t="shared" si="18"/>
        <v>49000</v>
      </c>
    </row>
    <row r="433" spans="1:8" x14ac:dyDescent="0.25">
      <c r="A433" s="6" t="s">
        <v>362</v>
      </c>
      <c r="B433" s="6" t="s">
        <v>363</v>
      </c>
      <c r="C433" s="6" t="s">
        <v>217</v>
      </c>
      <c r="D433" s="7">
        <v>8</v>
      </c>
      <c r="E433" s="14">
        <v>1597.7</v>
      </c>
      <c r="F433" s="13">
        <f t="shared" si="17"/>
        <v>12781.6</v>
      </c>
      <c r="G433">
        <v>3800</v>
      </c>
      <c r="H433" s="188">
        <f t="shared" si="18"/>
        <v>30400</v>
      </c>
    </row>
    <row r="434" spans="1:8" x14ac:dyDescent="0.25">
      <c r="A434" s="6" t="s">
        <v>380</v>
      </c>
      <c r="B434" s="6" t="s">
        <v>381</v>
      </c>
      <c r="C434" s="6" t="s">
        <v>217</v>
      </c>
      <c r="D434" s="7">
        <v>9</v>
      </c>
      <c r="E434" s="14">
        <v>731</v>
      </c>
      <c r="F434" s="13">
        <f t="shared" si="17"/>
        <v>6579</v>
      </c>
      <c r="G434">
        <v>2000</v>
      </c>
      <c r="H434" s="188">
        <f t="shared" si="18"/>
        <v>18000</v>
      </c>
    </row>
    <row r="435" spans="1:8" x14ac:dyDescent="0.25">
      <c r="A435" s="6" t="s">
        <v>302</v>
      </c>
      <c r="B435" s="6" t="s">
        <v>303</v>
      </c>
      <c r="C435" s="6" t="s">
        <v>217</v>
      </c>
      <c r="D435" s="7">
        <v>6</v>
      </c>
      <c r="E435" s="14">
        <v>2977</v>
      </c>
      <c r="F435" s="13">
        <f t="shared" si="17"/>
        <v>17862</v>
      </c>
      <c r="G435">
        <v>5800</v>
      </c>
      <c r="H435" s="188">
        <f t="shared" si="18"/>
        <v>34800</v>
      </c>
    </row>
    <row r="436" spans="1:8" x14ac:dyDescent="0.25">
      <c r="A436" s="6" t="s">
        <v>304</v>
      </c>
      <c r="B436" s="6" t="s">
        <v>305</v>
      </c>
      <c r="C436" s="6" t="s">
        <v>217</v>
      </c>
      <c r="D436" s="7">
        <v>11</v>
      </c>
      <c r="E436" s="14">
        <v>2977</v>
      </c>
      <c r="F436" s="13">
        <f t="shared" si="17"/>
        <v>32747</v>
      </c>
      <c r="G436">
        <v>5800</v>
      </c>
      <c r="H436" s="188">
        <f t="shared" si="18"/>
        <v>63800</v>
      </c>
    </row>
    <row r="437" spans="1:8" x14ac:dyDescent="0.25">
      <c r="A437" s="6" t="s">
        <v>306</v>
      </c>
      <c r="B437" s="6" t="s">
        <v>307</v>
      </c>
      <c r="C437" s="6" t="s">
        <v>217</v>
      </c>
      <c r="D437" s="7">
        <v>7</v>
      </c>
      <c r="E437" s="14">
        <v>2977</v>
      </c>
      <c r="F437" s="13">
        <f t="shared" si="17"/>
        <v>20839</v>
      </c>
      <c r="G437">
        <v>5800</v>
      </c>
      <c r="H437" s="188">
        <f t="shared" si="18"/>
        <v>40600</v>
      </c>
    </row>
    <row r="438" spans="1:8" x14ac:dyDescent="0.25">
      <c r="A438" s="6" t="s">
        <v>308</v>
      </c>
      <c r="B438" s="6" t="s">
        <v>309</v>
      </c>
      <c r="C438" s="6" t="s">
        <v>217</v>
      </c>
      <c r="D438" s="7">
        <v>4</v>
      </c>
      <c r="E438" s="14">
        <v>2977</v>
      </c>
      <c r="F438" s="13">
        <f t="shared" si="17"/>
        <v>11908</v>
      </c>
      <c r="G438">
        <v>5800</v>
      </c>
      <c r="H438" s="188">
        <f t="shared" si="18"/>
        <v>23200</v>
      </c>
    </row>
    <row r="439" spans="1:8" x14ac:dyDescent="0.25">
      <c r="A439" s="6" t="s">
        <v>310</v>
      </c>
      <c r="B439" s="6" t="s">
        <v>311</v>
      </c>
      <c r="C439" s="6" t="s">
        <v>217</v>
      </c>
      <c r="D439" s="7">
        <v>7</v>
      </c>
      <c r="E439" s="14">
        <v>2977</v>
      </c>
      <c r="F439" s="13">
        <f t="shared" si="17"/>
        <v>20839</v>
      </c>
      <c r="G439">
        <v>5800</v>
      </c>
      <c r="H439" s="188">
        <f t="shared" si="18"/>
        <v>40600</v>
      </c>
    </row>
    <row r="440" spans="1:8" x14ac:dyDescent="0.25">
      <c r="A440" s="6" t="s">
        <v>312</v>
      </c>
      <c r="B440" s="6" t="s">
        <v>313</v>
      </c>
      <c r="C440" s="6" t="s">
        <v>217</v>
      </c>
      <c r="D440" s="7">
        <v>10</v>
      </c>
      <c r="E440" s="14">
        <v>2977</v>
      </c>
      <c r="F440" s="13">
        <f t="shared" si="17"/>
        <v>29770</v>
      </c>
      <c r="G440">
        <v>5800</v>
      </c>
      <c r="H440" s="188">
        <f t="shared" si="18"/>
        <v>58000</v>
      </c>
    </row>
    <row r="441" spans="1:8" x14ac:dyDescent="0.25">
      <c r="A441" s="6" t="s">
        <v>314</v>
      </c>
      <c r="B441" s="6" t="s">
        <v>315</v>
      </c>
      <c r="C441" s="6" t="s">
        <v>217</v>
      </c>
      <c r="D441" s="7">
        <v>4</v>
      </c>
      <c r="E441" s="14">
        <v>2977</v>
      </c>
      <c r="F441" s="13">
        <f t="shared" si="17"/>
        <v>11908</v>
      </c>
      <c r="G441">
        <v>5800</v>
      </c>
      <c r="H441" s="188">
        <f t="shared" si="18"/>
        <v>23200</v>
      </c>
    </row>
    <row r="442" spans="1:8" x14ac:dyDescent="0.25">
      <c r="A442" s="6" t="s">
        <v>316</v>
      </c>
      <c r="B442" s="6" t="s">
        <v>317</v>
      </c>
      <c r="C442" s="6" t="s">
        <v>217</v>
      </c>
      <c r="D442" s="7">
        <v>15</v>
      </c>
      <c r="E442" s="14">
        <v>2977</v>
      </c>
      <c r="F442" s="13">
        <f t="shared" si="17"/>
        <v>44655</v>
      </c>
      <c r="G442">
        <v>5800</v>
      </c>
      <c r="H442" s="188">
        <f t="shared" si="18"/>
        <v>87000</v>
      </c>
    </row>
    <row r="443" spans="1:8" x14ac:dyDescent="0.25">
      <c r="A443" s="6" t="s">
        <v>318</v>
      </c>
      <c r="B443" s="6" t="s">
        <v>319</v>
      </c>
      <c r="C443" s="6" t="s">
        <v>217</v>
      </c>
      <c r="D443" s="7">
        <v>2</v>
      </c>
      <c r="E443" s="14">
        <v>2977</v>
      </c>
      <c r="F443" s="13">
        <f t="shared" si="17"/>
        <v>5954</v>
      </c>
      <c r="G443">
        <v>5800</v>
      </c>
      <c r="H443" s="188">
        <f t="shared" si="18"/>
        <v>11600</v>
      </c>
    </row>
    <row r="444" spans="1:8" x14ac:dyDescent="0.25">
      <c r="A444" s="6" t="s">
        <v>320</v>
      </c>
      <c r="B444" s="6" t="s">
        <v>321</v>
      </c>
      <c r="C444" s="6" t="s">
        <v>217</v>
      </c>
      <c r="D444" s="7">
        <v>8</v>
      </c>
      <c r="E444" s="14">
        <v>2977</v>
      </c>
      <c r="F444" s="13">
        <f t="shared" si="17"/>
        <v>23816</v>
      </c>
      <c r="G444">
        <v>5800</v>
      </c>
      <c r="H444" s="188">
        <f t="shared" si="18"/>
        <v>46400</v>
      </c>
    </row>
    <row r="445" spans="1:8" x14ac:dyDescent="0.25">
      <c r="A445" s="6" t="s">
        <v>322</v>
      </c>
      <c r="B445" s="6" t="s">
        <v>323</v>
      </c>
      <c r="C445" s="6" t="s">
        <v>217</v>
      </c>
      <c r="D445" s="7">
        <v>8</v>
      </c>
      <c r="E445" s="14">
        <v>2977</v>
      </c>
      <c r="F445" s="13">
        <f t="shared" si="17"/>
        <v>23816</v>
      </c>
      <c r="G445">
        <v>5800</v>
      </c>
      <c r="H445" s="188">
        <f t="shared" si="18"/>
        <v>46400</v>
      </c>
    </row>
    <row r="446" spans="1:8" x14ac:dyDescent="0.25">
      <c r="A446" s="6" t="s">
        <v>324</v>
      </c>
      <c r="B446" s="6" t="s">
        <v>325</v>
      </c>
      <c r="C446" s="6" t="s">
        <v>217</v>
      </c>
      <c r="D446" s="7">
        <v>2</v>
      </c>
      <c r="E446" s="14">
        <v>2977</v>
      </c>
      <c r="F446" s="13">
        <f t="shared" si="17"/>
        <v>5954</v>
      </c>
      <c r="G446">
        <v>5800</v>
      </c>
      <c r="H446" s="188">
        <f t="shared" si="18"/>
        <v>11600</v>
      </c>
    </row>
    <row r="447" spans="1:8" x14ac:dyDescent="0.25">
      <c r="A447" s="6" t="s">
        <v>326</v>
      </c>
      <c r="B447" s="6" t="s">
        <v>327</v>
      </c>
      <c r="C447" s="6" t="s">
        <v>217</v>
      </c>
      <c r="D447" s="7">
        <v>1</v>
      </c>
      <c r="E447" s="14">
        <v>2977</v>
      </c>
      <c r="F447" s="13">
        <f t="shared" si="17"/>
        <v>2977</v>
      </c>
      <c r="G447">
        <v>5800</v>
      </c>
      <c r="H447" s="188">
        <f t="shared" si="18"/>
        <v>5800</v>
      </c>
    </row>
    <row r="448" spans="1:8" x14ac:dyDescent="0.25">
      <c r="A448" s="6" t="s">
        <v>328</v>
      </c>
      <c r="B448" s="6" t="s">
        <v>329</v>
      </c>
      <c r="C448" s="6" t="s">
        <v>217</v>
      </c>
      <c r="D448" s="7">
        <v>10</v>
      </c>
      <c r="E448" s="14">
        <v>2977</v>
      </c>
      <c r="F448" s="13">
        <f t="shared" si="17"/>
        <v>29770</v>
      </c>
      <c r="G448">
        <v>5800</v>
      </c>
      <c r="H448" s="188">
        <f t="shared" si="18"/>
        <v>58000</v>
      </c>
    </row>
    <row r="449" spans="1:8" x14ac:dyDescent="0.25">
      <c r="A449" s="6" t="s">
        <v>364</v>
      </c>
      <c r="B449" s="6" t="s">
        <v>365</v>
      </c>
      <c r="C449" s="6" t="s">
        <v>217</v>
      </c>
      <c r="D449" s="7">
        <v>3</v>
      </c>
      <c r="E449" s="14">
        <v>2977</v>
      </c>
      <c r="F449" s="13">
        <f t="shared" si="17"/>
        <v>8931</v>
      </c>
      <c r="G449">
        <v>6700</v>
      </c>
      <c r="H449" s="188">
        <f t="shared" si="18"/>
        <v>20100</v>
      </c>
    </row>
    <row r="450" spans="1:8" x14ac:dyDescent="0.25">
      <c r="A450" s="6" t="s">
        <v>366</v>
      </c>
      <c r="B450" s="6" t="s">
        <v>367</v>
      </c>
      <c r="C450" s="6" t="s">
        <v>217</v>
      </c>
      <c r="D450" s="7">
        <v>2</v>
      </c>
      <c r="E450" s="14">
        <v>2977</v>
      </c>
      <c r="F450" s="13">
        <f t="shared" si="17"/>
        <v>5954</v>
      </c>
      <c r="G450">
        <v>6700</v>
      </c>
      <c r="H450" s="188">
        <f t="shared" si="18"/>
        <v>13400</v>
      </c>
    </row>
    <row r="451" spans="1:8" x14ac:dyDescent="0.25">
      <c r="A451" s="6" t="s">
        <v>368</v>
      </c>
      <c r="B451" s="6" t="s">
        <v>369</v>
      </c>
      <c r="C451" s="6" t="s">
        <v>217</v>
      </c>
      <c r="D451" s="7">
        <v>16</v>
      </c>
      <c r="E451" s="14">
        <v>1597.7</v>
      </c>
      <c r="F451" s="13">
        <f t="shared" si="17"/>
        <v>25563.200000000001</v>
      </c>
      <c r="G451">
        <v>4100</v>
      </c>
      <c r="H451" s="188">
        <f t="shared" si="18"/>
        <v>65600</v>
      </c>
    </row>
    <row r="452" spans="1:8" x14ac:dyDescent="0.25">
      <c r="A452" s="6" t="s">
        <v>370</v>
      </c>
      <c r="B452" s="6" t="s">
        <v>371</v>
      </c>
      <c r="C452" s="6" t="s">
        <v>217</v>
      </c>
      <c r="D452" s="7">
        <v>20</v>
      </c>
      <c r="E452" s="14">
        <v>731</v>
      </c>
      <c r="F452" s="13">
        <f t="shared" si="17"/>
        <v>14620</v>
      </c>
      <c r="G452">
        <v>2200</v>
      </c>
      <c r="H452" s="188">
        <f t="shared" si="18"/>
        <v>44000</v>
      </c>
    </row>
    <row r="453" spans="1:8" x14ac:dyDescent="0.25">
      <c r="A453" s="6" t="s">
        <v>356</v>
      </c>
      <c r="B453" s="6" t="s">
        <v>357</v>
      </c>
      <c r="C453" s="6" t="s">
        <v>217</v>
      </c>
      <c r="D453" s="7">
        <v>3</v>
      </c>
      <c r="E453" s="14">
        <v>1277</v>
      </c>
      <c r="F453" s="13">
        <f t="shared" si="17"/>
        <v>3831</v>
      </c>
      <c r="G453">
        <v>3200</v>
      </c>
      <c r="H453" s="188">
        <f t="shared" si="18"/>
        <v>9600</v>
      </c>
    </row>
    <row r="454" spans="1:8" x14ac:dyDescent="0.25">
      <c r="A454" s="6" t="s">
        <v>358</v>
      </c>
      <c r="B454" s="6" t="s">
        <v>359</v>
      </c>
      <c r="C454" s="6" t="s">
        <v>217</v>
      </c>
      <c r="D454" s="7">
        <v>1</v>
      </c>
      <c r="E454" s="14">
        <v>1277</v>
      </c>
      <c r="F454" s="13">
        <f t="shared" si="17"/>
        <v>1277</v>
      </c>
      <c r="G454">
        <v>3200</v>
      </c>
      <c r="H454" s="188">
        <f t="shared" si="18"/>
        <v>3200</v>
      </c>
    </row>
    <row r="455" spans="1:8" x14ac:dyDescent="0.25">
      <c r="A455" s="6" t="s">
        <v>372</v>
      </c>
      <c r="B455" s="6" t="s">
        <v>373</v>
      </c>
      <c r="C455" s="6" t="s">
        <v>217</v>
      </c>
      <c r="D455" s="7">
        <v>11</v>
      </c>
      <c r="E455" s="14">
        <v>731</v>
      </c>
      <c r="F455" s="13">
        <f t="shared" ref="F455:F466" si="19">E455*D455</f>
        <v>8041</v>
      </c>
      <c r="G455">
        <v>2000</v>
      </c>
      <c r="H455" s="188">
        <f t="shared" si="18"/>
        <v>22000</v>
      </c>
    </row>
    <row r="456" spans="1:8" x14ac:dyDescent="0.25">
      <c r="A456" s="6" t="s">
        <v>386</v>
      </c>
      <c r="B456" s="6" t="s">
        <v>387</v>
      </c>
      <c r="C456" s="6" t="s">
        <v>217</v>
      </c>
      <c r="D456" s="7">
        <v>11</v>
      </c>
      <c r="E456" s="14">
        <v>1597.7</v>
      </c>
      <c r="F456" s="13">
        <f t="shared" si="19"/>
        <v>17574.7</v>
      </c>
      <c r="G456">
        <v>3800</v>
      </c>
      <c r="H456" s="188">
        <f t="shared" si="18"/>
        <v>41800</v>
      </c>
    </row>
    <row r="457" spans="1:8" x14ac:dyDescent="0.25">
      <c r="A457" s="6" t="s">
        <v>330</v>
      </c>
      <c r="B457" s="6" t="s">
        <v>331</v>
      </c>
      <c r="C457" s="6" t="s">
        <v>217</v>
      </c>
      <c r="D457" s="7">
        <v>1</v>
      </c>
      <c r="E457" s="14">
        <v>1277</v>
      </c>
      <c r="F457" s="13">
        <f t="shared" si="19"/>
        <v>1277</v>
      </c>
      <c r="G457">
        <v>3200</v>
      </c>
      <c r="H457" s="188">
        <f t="shared" si="18"/>
        <v>3200</v>
      </c>
    </row>
    <row r="458" spans="1:8" x14ac:dyDescent="0.25">
      <c r="A458" s="6" t="s">
        <v>332</v>
      </c>
      <c r="B458" s="6" t="s">
        <v>333</v>
      </c>
      <c r="C458" s="6" t="s">
        <v>217</v>
      </c>
      <c r="D458" s="7">
        <v>2</v>
      </c>
      <c r="E458" s="14">
        <v>1277</v>
      </c>
      <c r="F458" s="13">
        <f t="shared" si="19"/>
        <v>2554</v>
      </c>
      <c r="G458">
        <v>3200</v>
      </c>
      <c r="H458" s="188">
        <f t="shared" ref="H458:H521" si="20">G458*D458</f>
        <v>6400</v>
      </c>
    </row>
    <row r="459" spans="1:8" x14ac:dyDescent="0.25">
      <c r="A459" s="6" t="s">
        <v>334</v>
      </c>
      <c r="B459" s="6" t="s">
        <v>335</v>
      </c>
      <c r="C459" s="6" t="s">
        <v>217</v>
      </c>
      <c r="D459" s="7">
        <v>1</v>
      </c>
      <c r="E459" s="14">
        <v>1277</v>
      </c>
      <c r="F459" s="13">
        <f t="shared" si="19"/>
        <v>1277</v>
      </c>
      <c r="G459">
        <v>3200</v>
      </c>
      <c r="H459" s="188">
        <f t="shared" si="20"/>
        <v>3200</v>
      </c>
    </row>
    <row r="460" spans="1:8" x14ac:dyDescent="0.25">
      <c r="A460" s="6" t="s">
        <v>338</v>
      </c>
      <c r="B460" s="6" t="s">
        <v>339</v>
      </c>
      <c r="C460" s="6" t="s">
        <v>217</v>
      </c>
      <c r="D460" s="7">
        <v>24</v>
      </c>
      <c r="E460" s="14">
        <v>731</v>
      </c>
      <c r="F460" s="13">
        <f t="shared" si="19"/>
        <v>17544</v>
      </c>
      <c r="G460">
        <v>2000</v>
      </c>
      <c r="H460" s="188">
        <f t="shared" si="20"/>
        <v>48000</v>
      </c>
    </row>
    <row r="461" spans="1:8" x14ac:dyDescent="0.25">
      <c r="A461" s="6" t="s">
        <v>340</v>
      </c>
      <c r="B461" s="6" t="s">
        <v>341</v>
      </c>
      <c r="C461" s="6" t="s">
        <v>217</v>
      </c>
      <c r="D461" s="7">
        <v>9</v>
      </c>
      <c r="E461" s="14">
        <v>1597.7</v>
      </c>
      <c r="F461" s="13">
        <f t="shared" si="19"/>
        <v>14379.300000000001</v>
      </c>
      <c r="G461">
        <v>3800</v>
      </c>
      <c r="H461" s="188">
        <f t="shared" si="20"/>
        <v>34200</v>
      </c>
    </row>
    <row r="462" spans="1:8" x14ac:dyDescent="0.25">
      <c r="A462" s="6" t="s">
        <v>342</v>
      </c>
      <c r="B462" s="6" t="s">
        <v>343</v>
      </c>
      <c r="C462" s="6" t="s">
        <v>217</v>
      </c>
      <c r="D462" s="7">
        <v>6</v>
      </c>
      <c r="E462" s="14">
        <v>2977</v>
      </c>
      <c r="F462" s="13">
        <f t="shared" si="19"/>
        <v>17862</v>
      </c>
      <c r="G462">
        <v>5800</v>
      </c>
      <c r="H462" s="188">
        <f t="shared" si="20"/>
        <v>34800</v>
      </c>
    </row>
    <row r="463" spans="1:8" x14ac:dyDescent="0.25">
      <c r="A463" s="6" t="s">
        <v>344</v>
      </c>
      <c r="B463" s="6" t="s">
        <v>345</v>
      </c>
      <c r="C463" s="6" t="s">
        <v>217</v>
      </c>
      <c r="D463" s="7">
        <v>25</v>
      </c>
      <c r="E463" s="14">
        <v>832</v>
      </c>
      <c r="F463" s="13">
        <f t="shared" si="19"/>
        <v>20800</v>
      </c>
      <c r="G463">
        <v>2700</v>
      </c>
      <c r="H463" s="188">
        <f t="shared" si="20"/>
        <v>67500</v>
      </c>
    </row>
    <row r="464" spans="1:8" x14ac:dyDescent="0.25">
      <c r="A464" s="6" t="s">
        <v>346</v>
      </c>
      <c r="B464" s="6" t="s">
        <v>347</v>
      </c>
      <c r="C464" s="6" t="s">
        <v>217</v>
      </c>
      <c r="D464" s="7">
        <v>8</v>
      </c>
      <c r="E464" s="14">
        <v>1544</v>
      </c>
      <c r="F464" s="13">
        <f t="shared" si="19"/>
        <v>12352</v>
      </c>
      <c r="G464">
        <v>4900</v>
      </c>
      <c r="H464" s="188">
        <f t="shared" si="20"/>
        <v>39200</v>
      </c>
    </row>
    <row r="465" spans="1:8" x14ac:dyDescent="0.25">
      <c r="A465" s="6" t="s">
        <v>374</v>
      </c>
      <c r="B465" s="6" t="s">
        <v>375</v>
      </c>
      <c r="C465" s="6" t="s">
        <v>217</v>
      </c>
      <c r="D465" s="7">
        <v>9</v>
      </c>
      <c r="E465" s="14">
        <v>731</v>
      </c>
      <c r="F465" s="13">
        <f t="shared" si="19"/>
        <v>6579</v>
      </c>
      <c r="G465">
        <v>2200</v>
      </c>
      <c r="H465" s="188">
        <f t="shared" si="20"/>
        <v>19800</v>
      </c>
    </row>
    <row r="466" spans="1:8" x14ac:dyDescent="0.25">
      <c r="A466" s="6" t="s">
        <v>376</v>
      </c>
      <c r="B466" s="6" t="s">
        <v>377</v>
      </c>
      <c r="C466" s="6" t="s">
        <v>217</v>
      </c>
      <c r="D466" s="7">
        <v>4</v>
      </c>
      <c r="E466" s="14">
        <v>1597.7</v>
      </c>
      <c r="F466" s="13">
        <f t="shared" si="19"/>
        <v>6390.8</v>
      </c>
      <c r="G466">
        <v>4100</v>
      </c>
      <c r="H466" s="188">
        <f t="shared" si="20"/>
        <v>16400</v>
      </c>
    </row>
    <row r="467" spans="1:8" x14ac:dyDescent="0.25">
      <c r="A467" s="89">
        <v>45658</v>
      </c>
      <c r="B467" s="93"/>
      <c r="C467" s="93"/>
      <c r="D467" s="93"/>
      <c r="E467" s="94"/>
      <c r="F467" s="94"/>
      <c r="H467" s="188">
        <f t="shared" si="20"/>
        <v>0</v>
      </c>
    </row>
    <row r="468" spans="1:8" x14ac:dyDescent="0.25">
      <c r="A468" s="12"/>
      <c r="B468" s="6" t="s">
        <v>216</v>
      </c>
      <c r="C468" s="6" t="s">
        <v>217</v>
      </c>
      <c r="D468" s="7">
        <v>20</v>
      </c>
      <c r="E468" s="13">
        <v>731</v>
      </c>
      <c r="F468" s="13">
        <f>D468*E468</f>
        <v>14620</v>
      </c>
      <c r="G468">
        <v>2000</v>
      </c>
      <c r="H468" s="188">
        <f t="shared" si="20"/>
        <v>40000</v>
      </c>
    </row>
    <row r="469" spans="1:8" x14ac:dyDescent="0.25">
      <c r="A469" s="12"/>
      <c r="B469" s="6" t="s">
        <v>219</v>
      </c>
      <c r="C469" s="6" t="s">
        <v>217</v>
      </c>
      <c r="D469" s="7">
        <v>22</v>
      </c>
      <c r="E469" s="13">
        <v>731</v>
      </c>
      <c r="F469" s="13">
        <f t="shared" ref="F469:F532" si="21">D469*E469</f>
        <v>16082</v>
      </c>
      <c r="G469">
        <v>2000</v>
      </c>
      <c r="H469" s="188">
        <f t="shared" si="20"/>
        <v>44000</v>
      </c>
    </row>
    <row r="470" spans="1:8" x14ac:dyDescent="0.25">
      <c r="A470" s="12"/>
      <c r="B470" s="6" t="s">
        <v>221</v>
      </c>
      <c r="C470" s="6" t="s">
        <v>217</v>
      </c>
      <c r="D470" s="7">
        <v>11</v>
      </c>
      <c r="E470" s="13">
        <v>731</v>
      </c>
      <c r="F470" s="13">
        <f t="shared" si="21"/>
        <v>8041</v>
      </c>
      <c r="G470">
        <v>2000</v>
      </c>
      <c r="H470" s="188">
        <f t="shared" si="20"/>
        <v>22000</v>
      </c>
    </row>
    <row r="471" spans="1:8" x14ac:dyDescent="0.25">
      <c r="A471" s="12"/>
      <c r="B471" s="6" t="s">
        <v>223</v>
      </c>
      <c r="C471" s="6" t="s">
        <v>217</v>
      </c>
      <c r="D471" s="7">
        <v>41</v>
      </c>
      <c r="E471" s="13">
        <v>731</v>
      </c>
      <c r="F471" s="13">
        <f t="shared" si="21"/>
        <v>29971</v>
      </c>
      <c r="G471">
        <v>2000</v>
      </c>
      <c r="H471" s="188">
        <f t="shared" si="20"/>
        <v>82000</v>
      </c>
    </row>
    <row r="472" spans="1:8" x14ac:dyDescent="0.25">
      <c r="A472" s="12"/>
      <c r="B472" s="6" t="s">
        <v>225</v>
      </c>
      <c r="C472" s="6" t="s">
        <v>217</v>
      </c>
      <c r="D472" s="7">
        <v>23</v>
      </c>
      <c r="E472" s="13">
        <v>731</v>
      </c>
      <c r="F472" s="13">
        <f t="shared" si="21"/>
        <v>16813</v>
      </c>
      <c r="G472">
        <v>2000</v>
      </c>
      <c r="H472" s="188">
        <f t="shared" si="20"/>
        <v>46000</v>
      </c>
    </row>
    <row r="473" spans="1:8" x14ac:dyDescent="0.25">
      <c r="A473" s="12"/>
      <c r="B473" s="6" t="s">
        <v>227</v>
      </c>
      <c r="C473" s="6" t="s">
        <v>217</v>
      </c>
      <c r="D473" s="7">
        <v>2</v>
      </c>
      <c r="E473" s="13">
        <v>731</v>
      </c>
      <c r="F473" s="13">
        <f t="shared" si="21"/>
        <v>1462</v>
      </c>
      <c r="G473">
        <v>2000</v>
      </c>
      <c r="H473" s="188">
        <f t="shared" si="20"/>
        <v>4000</v>
      </c>
    </row>
    <row r="474" spans="1:8" x14ac:dyDescent="0.25">
      <c r="A474" s="12"/>
      <c r="B474" s="6" t="s">
        <v>229</v>
      </c>
      <c r="C474" s="6" t="s">
        <v>217</v>
      </c>
      <c r="D474" s="7">
        <v>19</v>
      </c>
      <c r="E474" s="13">
        <v>731</v>
      </c>
      <c r="F474" s="13">
        <f t="shared" si="21"/>
        <v>13889</v>
      </c>
      <c r="G474">
        <v>2000</v>
      </c>
      <c r="H474" s="188">
        <f t="shared" si="20"/>
        <v>38000</v>
      </c>
    </row>
    <row r="475" spans="1:8" x14ac:dyDescent="0.25">
      <c r="A475" s="12"/>
      <c r="B475" s="6" t="s">
        <v>231</v>
      </c>
      <c r="C475" s="6" t="s">
        <v>217</v>
      </c>
      <c r="D475" s="7">
        <v>20</v>
      </c>
      <c r="E475" s="13">
        <v>731</v>
      </c>
      <c r="F475" s="13">
        <f t="shared" si="21"/>
        <v>14620</v>
      </c>
      <c r="G475">
        <v>2000</v>
      </c>
      <c r="H475" s="188">
        <f t="shared" si="20"/>
        <v>40000</v>
      </c>
    </row>
    <row r="476" spans="1:8" x14ac:dyDescent="0.25">
      <c r="A476" s="12"/>
      <c r="B476" s="6" t="s">
        <v>233</v>
      </c>
      <c r="C476" s="6" t="s">
        <v>217</v>
      </c>
      <c r="D476" s="7">
        <v>19</v>
      </c>
      <c r="E476" s="13">
        <v>731</v>
      </c>
      <c r="F476" s="13">
        <f t="shared" si="21"/>
        <v>13889</v>
      </c>
      <c r="G476">
        <v>2000</v>
      </c>
      <c r="H476" s="188">
        <f t="shared" si="20"/>
        <v>38000</v>
      </c>
    </row>
    <row r="477" spans="1:8" x14ac:dyDescent="0.25">
      <c r="A477" s="12"/>
      <c r="B477" s="6" t="s">
        <v>235</v>
      </c>
      <c r="C477" s="6" t="s">
        <v>217</v>
      </c>
      <c r="D477" s="7">
        <v>14</v>
      </c>
      <c r="E477" s="13">
        <v>731</v>
      </c>
      <c r="F477" s="13">
        <f t="shared" si="21"/>
        <v>10234</v>
      </c>
      <c r="G477">
        <v>2000</v>
      </c>
      <c r="H477" s="188">
        <f t="shared" si="20"/>
        <v>28000</v>
      </c>
    </row>
    <row r="478" spans="1:8" x14ac:dyDescent="0.25">
      <c r="A478" s="12"/>
      <c r="B478" s="6" t="s">
        <v>237</v>
      </c>
      <c r="C478" s="6" t="s">
        <v>217</v>
      </c>
      <c r="D478" s="7">
        <v>31</v>
      </c>
      <c r="E478" s="13">
        <v>731</v>
      </c>
      <c r="F478" s="13">
        <f t="shared" si="21"/>
        <v>22661</v>
      </c>
      <c r="G478">
        <v>2000</v>
      </c>
      <c r="H478" s="188">
        <f t="shared" si="20"/>
        <v>62000</v>
      </c>
    </row>
    <row r="479" spans="1:8" x14ac:dyDescent="0.25">
      <c r="A479" s="12"/>
      <c r="B479" s="6" t="s">
        <v>239</v>
      </c>
      <c r="C479" s="6" t="s">
        <v>217</v>
      </c>
      <c r="D479" s="7">
        <v>15</v>
      </c>
      <c r="E479" s="13">
        <v>731</v>
      </c>
      <c r="F479" s="13">
        <f t="shared" si="21"/>
        <v>10965</v>
      </c>
      <c r="G479">
        <v>2000</v>
      </c>
      <c r="H479" s="188">
        <f t="shared" si="20"/>
        <v>30000</v>
      </c>
    </row>
    <row r="480" spans="1:8" x14ac:dyDescent="0.25">
      <c r="A480" s="12"/>
      <c r="B480" s="6" t="s">
        <v>241</v>
      </c>
      <c r="C480" s="6" t="s">
        <v>217</v>
      </c>
      <c r="D480" s="7">
        <v>8</v>
      </c>
      <c r="E480" s="13">
        <v>731</v>
      </c>
      <c r="F480" s="13">
        <f t="shared" si="21"/>
        <v>5848</v>
      </c>
      <c r="G480">
        <v>2000</v>
      </c>
      <c r="H480" s="188">
        <f t="shared" si="20"/>
        <v>16000</v>
      </c>
    </row>
    <row r="481" spans="1:8" x14ac:dyDescent="0.25">
      <c r="A481" s="12"/>
      <c r="B481" s="6" t="s">
        <v>243</v>
      </c>
      <c r="C481" s="6" t="s">
        <v>217</v>
      </c>
      <c r="D481" s="7">
        <v>15</v>
      </c>
      <c r="E481" s="13">
        <v>731</v>
      </c>
      <c r="F481" s="13">
        <f t="shared" si="21"/>
        <v>10965</v>
      </c>
      <c r="G481">
        <v>2000</v>
      </c>
      <c r="H481" s="188">
        <f t="shared" si="20"/>
        <v>30000</v>
      </c>
    </row>
    <row r="482" spans="1:8" x14ac:dyDescent="0.25">
      <c r="A482" s="12"/>
      <c r="B482" s="6" t="s">
        <v>245</v>
      </c>
      <c r="C482" s="6" t="s">
        <v>217</v>
      </c>
      <c r="D482" s="7">
        <v>6</v>
      </c>
      <c r="E482" s="13">
        <v>1597.7</v>
      </c>
      <c r="F482" s="13">
        <f t="shared" si="21"/>
        <v>9586.2000000000007</v>
      </c>
      <c r="G482">
        <v>3800</v>
      </c>
      <c r="H482" s="188">
        <f t="shared" si="20"/>
        <v>22800</v>
      </c>
    </row>
    <row r="483" spans="1:8" x14ac:dyDescent="0.25">
      <c r="A483" s="12"/>
      <c r="B483" s="6" t="s">
        <v>247</v>
      </c>
      <c r="C483" s="6" t="s">
        <v>217</v>
      </c>
      <c r="D483" s="7">
        <v>14</v>
      </c>
      <c r="E483" s="13">
        <v>1597.7</v>
      </c>
      <c r="F483" s="13">
        <f t="shared" si="21"/>
        <v>22367.8</v>
      </c>
      <c r="G483">
        <v>3800</v>
      </c>
      <c r="H483" s="188">
        <f t="shared" si="20"/>
        <v>53200</v>
      </c>
    </row>
    <row r="484" spans="1:8" x14ac:dyDescent="0.25">
      <c r="A484" s="12"/>
      <c r="B484" s="6" t="s">
        <v>249</v>
      </c>
      <c r="C484" s="6" t="s">
        <v>217</v>
      </c>
      <c r="D484" s="7">
        <v>5</v>
      </c>
      <c r="E484" s="13">
        <v>1597.7</v>
      </c>
      <c r="F484" s="13">
        <f t="shared" si="21"/>
        <v>7988.5</v>
      </c>
      <c r="G484">
        <v>3800</v>
      </c>
      <c r="H484" s="188">
        <f t="shared" si="20"/>
        <v>19000</v>
      </c>
    </row>
    <row r="485" spans="1:8" x14ac:dyDescent="0.25">
      <c r="A485" s="12"/>
      <c r="B485" s="6" t="s">
        <v>251</v>
      </c>
      <c r="C485" s="6" t="s">
        <v>217</v>
      </c>
      <c r="D485" s="7">
        <v>19</v>
      </c>
      <c r="E485" s="13">
        <v>1597.7</v>
      </c>
      <c r="F485" s="13">
        <f t="shared" si="21"/>
        <v>30356.3</v>
      </c>
      <c r="G485">
        <v>3800</v>
      </c>
      <c r="H485" s="188">
        <f t="shared" si="20"/>
        <v>72200</v>
      </c>
    </row>
    <row r="486" spans="1:8" x14ac:dyDescent="0.25">
      <c r="A486" s="12"/>
      <c r="B486" s="6" t="s">
        <v>253</v>
      </c>
      <c r="C486" s="6" t="s">
        <v>217</v>
      </c>
      <c r="D486" s="7">
        <v>19</v>
      </c>
      <c r="E486" s="13">
        <v>1597.7</v>
      </c>
      <c r="F486" s="13">
        <f t="shared" si="21"/>
        <v>30356.3</v>
      </c>
      <c r="G486">
        <v>3800</v>
      </c>
      <c r="H486" s="188">
        <f t="shared" si="20"/>
        <v>72200</v>
      </c>
    </row>
    <row r="487" spans="1:8" x14ac:dyDescent="0.25">
      <c r="A487" s="12"/>
      <c r="B487" s="6" t="s">
        <v>255</v>
      </c>
      <c r="C487" s="6" t="s">
        <v>217</v>
      </c>
      <c r="D487" s="7">
        <v>7</v>
      </c>
      <c r="E487" s="13">
        <v>1597.7</v>
      </c>
      <c r="F487" s="13">
        <f t="shared" si="21"/>
        <v>11183.9</v>
      </c>
      <c r="G487">
        <v>3800</v>
      </c>
      <c r="H487" s="188">
        <f t="shared" si="20"/>
        <v>26600</v>
      </c>
    </row>
    <row r="488" spans="1:8" x14ac:dyDescent="0.25">
      <c r="A488" s="12"/>
      <c r="B488" s="6" t="s">
        <v>257</v>
      </c>
      <c r="C488" s="6" t="s">
        <v>217</v>
      </c>
      <c r="D488" s="7">
        <v>11</v>
      </c>
      <c r="E488" s="13">
        <v>1597.7</v>
      </c>
      <c r="F488" s="13">
        <f t="shared" si="21"/>
        <v>17574.7</v>
      </c>
      <c r="G488">
        <v>3800</v>
      </c>
      <c r="H488" s="188">
        <f t="shared" si="20"/>
        <v>41800</v>
      </c>
    </row>
    <row r="489" spans="1:8" x14ac:dyDescent="0.25">
      <c r="A489" s="12"/>
      <c r="B489" s="6" t="s">
        <v>259</v>
      </c>
      <c r="C489" s="6" t="s">
        <v>217</v>
      </c>
      <c r="D489" s="7">
        <v>23</v>
      </c>
      <c r="E489" s="13">
        <v>1597.7</v>
      </c>
      <c r="F489" s="13">
        <f t="shared" si="21"/>
        <v>36747.1</v>
      </c>
      <c r="G489">
        <v>3800</v>
      </c>
      <c r="H489" s="188">
        <f t="shared" si="20"/>
        <v>87400</v>
      </c>
    </row>
    <row r="490" spans="1:8" x14ac:dyDescent="0.25">
      <c r="A490" s="12"/>
      <c r="B490" s="6" t="s">
        <v>261</v>
      </c>
      <c r="C490" s="6" t="s">
        <v>217</v>
      </c>
      <c r="D490" s="7">
        <v>15</v>
      </c>
      <c r="E490" s="13">
        <v>1597.7</v>
      </c>
      <c r="F490" s="13">
        <f t="shared" si="21"/>
        <v>23965.5</v>
      </c>
      <c r="G490">
        <v>3800</v>
      </c>
      <c r="H490" s="188">
        <f t="shared" si="20"/>
        <v>57000</v>
      </c>
    </row>
    <row r="491" spans="1:8" x14ac:dyDescent="0.25">
      <c r="A491" s="12"/>
      <c r="B491" s="6" t="s">
        <v>263</v>
      </c>
      <c r="C491" s="6" t="s">
        <v>217</v>
      </c>
      <c r="D491" s="7">
        <v>9</v>
      </c>
      <c r="E491" s="13">
        <v>1597.7</v>
      </c>
      <c r="F491" s="13">
        <f t="shared" si="21"/>
        <v>14379.300000000001</v>
      </c>
      <c r="G491">
        <v>3800</v>
      </c>
      <c r="H491" s="188">
        <f t="shared" si="20"/>
        <v>34200</v>
      </c>
    </row>
    <row r="492" spans="1:8" x14ac:dyDescent="0.25">
      <c r="A492" s="12"/>
      <c r="B492" s="6" t="s">
        <v>265</v>
      </c>
      <c r="C492" s="6" t="s">
        <v>217</v>
      </c>
      <c r="D492" s="7">
        <v>23</v>
      </c>
      <c r="E492" s="13">
        <v>1597.7</v>
      </c>
      <c r="F492" s="13">
        <f t="shared" si="21"/>
        <v>36747.1</v>
      </c>
      <c r="G492">
        <v>3800</v>
      </c>
      <c r="H492" s="188">
        <f t="shared" si="20"/>
        <v>87400</v>
      </c>
    </row>
    <row r="493" spans="1:8" x14ac:dyDescent="0.25">
      <c r="A493" s="12"/>
      <c r="B493" s="6" t="s">
        <v>267</v>
      </c>
      <c r="C493" s="6" t="s">
        <v>217</v>
      </c>
      <c r="D493" s="7">
        <v>10</v>
      </c>
      <c r="E493" s="13">
        <v>1597.7</v>
      </c>
      <c r="F493" s="13">
        <f t="shared" si="21"/>
        <v>15977</v>
      </c>
      <c r="G493">
        <v>3800</v>
      </c>
      <c r="H493" s="188">
        <f t="shared" si="20"/>
        <v>38000</v>
      </c>
    </row>
    <row r="494" spans="1:8" x14ac:dyDescent="0.25">
      <c r="A494" s="12"/>
      <c r="B494" s="6" t="s">
        <v>269</v>
      </c>
      <c r="C494" s="6" t="s">
        <v>217</v>
      </c>
      <c r="D494" s="7">
        <v>4</v>
      </c>
      <c r="E494" s="13">
        <v>1597.7</v>
      </c>
      <c r="F494" s="13">
        <f t="shared" si="21"/>
        <v>6390.8</v>
      </c>
      <c r="G494">
        <v>3800</v>
      </c>
      <c r="H494" s="188">
        <f t="shared" si="20"/>
        <v>15200</v>
      </c>
    </row>
    <row r="495" spans="1:8" x14ac:dyDescent="0.25">
      <c r="A495" s="12"/>
      <c r="B495" s="6" t="s">
        <v>271</v>
      </c>
      <c r="C495" s="6" t="s">
        <v>217</v>
      </c>
      <c r="D495" s="7">
        <v>11</v>
      </c>
      <c r="E495" s="13">
        <v>1597.7</v>
      </c>
      <c r="F495" s="13">
        <f t="shared" si="21"/>
        <v>17574.7</v>
      </c>
      <c r="G495">
        <v>3800</v>
      </c>
      <c r="H495" s="188">
        <f t="shared" si="20"/>
        <v>41800</v>
      </c>
    </row>
    <row r="496" spans="1:8" x14ac:dyDescent="0.25">
      <c r="A496" s="12"/>
      <c r="B496" s="6" t="s">
        <v>273</v>
      </c>
      <c r="C496" s="6" t="s">
        <v>217</v>
      </c>
      <c r="D496" s="7">
        <v>8</v>
      </c>
      <c r="E496" s="13">
        <v>832</v>
      </c>
      <c r="F496" s="13">
        <f t="shared" si="21"/>
        <v>6656</v>
      </c>
      <c r="G496">
        <v>2700</v>
      </c>
      <c r="H496" s="188">
        <f t="shared" si="20"/>
        <v>21600</v>
      </c>
    </row>
    <row r="497" spans="1:8" x14ac:dyDescent="0.25">
      <c r="A497" s="12"/>
      <c r="B497" s="6" t="s">
        <v>275</v>
      </c>
      <c r="C497" s="6" t="s">
        <v>217</v>
      </c>
      <c r="D497" s="7">
        <v>33</v>
      </c>
      <c r="E497" s="13">
        <v>832</v>
      </c>
      <c r="F497" s="13">
        <f t="shared" si="21"/>
        <v>27456</v>
      </c>
      <c r="G497">
        <v>2700</v>
      </c>
      <c r="H497" s="188">
        <f t="shared" si="20"/>
        <v>89100</v>
      </c>
    </row>
    <row r="498" spans="1:8" x14ac:dyDescent="0.25">
      <c r="A498" s="12"/>
      <c r="B498" s="6" t="s">
        <v>277</v>
      </c>
      <c r="C498" s="6" t="s">
        <v>217</v>
      </c>
      <c r="D498" s="7">
        <v>13</v>
      </c>
      <c r="E498" s="13">
        <v>832</v>
      </c>
      <c r="F498" s="13">
        <f t="shared" si="21"/>
        <v>10816</v>
      </c>
      <c r="G498">
        <v>2700</v>
      </c>
      <c r="H498" s="188">
        <f t="shared" si="20"/>
        <v>35100</v>
      </c>
    </row>
    <row r="499" spans="1:8" x14ac:dyDescent="0.25">
      <c r="A499" s="12"/>
      <c r="B499" s="6" t="s">
        <v>279</v>
      </c>
      <c r="C499" s="6" t="s">
        <v>217</v>
      </c>
      <c r="D499" s="7">
        <v>23</v>
      </c>
      <c r="E499" s="13">
        <v>832</v>
      </c>
      <c r="F499" s="13">
        <f t="shared" si="21"/>
        <v>19136</v>
      </c>
      <c r="G499">
        <v>2700</v>
      </c>
      <c r="H499" s="188">
        <f t="shared" si="20"/>
        <v>62100</v>
      </c>
    </row>
    <row r="500" spans="1:8" x14ac:dyDescent="0.25">
      <c r="A500" s="12"/>
      <c r="B500" s="6" t="s">
        <v>281</v>
      </c>
      <c r="C500" s="6" t="s">
        <v>217</v>
      </c>
      <c r="D500" s="7">
        <v>33</v>
      </c>
      <c r="E500" s="13">
        <v>832</v>
      </c>
      <c r="F500" s="13">
        <f t="shared" si="21"/>
        <v>27456</v>
      </c>
      <c r="G500">
        <v>2700</v>
      </c>
      <c r="H500" s="188">
        <f t="shared" si="20"/>
        <v>89100</v>
      </c>
    </row>
    <row r="501" spans="1:8" x14ac:dyDescent="0.25">
      <c r="A501" s="12"/>
      <c r="B501" s="6" t="s">
        <v>283</v>
      </c>
      <c r="C501" s="6" t="s">
        <v>217</v>
      </c>
      <c r="D501" s="7">
        <v>15</v>
      </c>
      <c r="E501" s="13">
        <v>832</v>
      </c>
      <c r="F501" s="13">
        <f t="shared" si="21"/>
        <v>12480</v>
      </c>
      <c r="G501">
        <v>2700</v>
      </c>
      <c r="H501" s="188">
        <f t="shared" si="20"/>
        <v>40500</v>
      </c>
    </row>
    <row r="502" spans="1:8" x14ac:dyDescent="0.25">
      <c r="A502" s="12"/>
      <c r="B502" s="6" t="s">
        <v>285</v>
      </c>
      <c r="C502" s="6" t="s">
        <v>217</v>
      </c>
      <c r="D502" s="7">
        <v>22</v>
      </c>
      <c r="E502" s="13">
        <v>832</v>
      </c>
      <c r="F502" s="13">
        <f t="shared" si="21"/>
        <v>18304</v>
      </c>
      <c r="G502">
        <v>2700</v>
      </c>
      <c r="H502" s="188">
        <f t="shared" si="20"/>
        <v>59400</v>
      </c>
    </row>
    <row r="503" spans="1:8" x14ac:dyDescent="0.25">
      <c r="A503" s="12"/>
      <c r="B503" s="6" t="s">
        <v>287</v>
      </c>
      <c r="C503" s="6" t="s">
        <v>217</v>
      </c>
      <c r="D503" s="7">
        <v>26</v>
      </c>
      <c r="E503" s="13">
        <v>832</v>
      </c>
      <c r="F503" s="13">
        <f t="shared" si="21"/>
        <v>21632</v>
      </c>
      <c r="G503">
        <v>2700</v>
      </c>
      <c r="H503" s="188">
        <f t="shared" si="20"/>
        <v>70200</v>
      </c>
    </row>
    <row r="504" spans="1:8" x14ac:dyDescent="0.25">
      <c r="A504" s="12"/>
      <c r="B504" s="6" t="s">
        <v>289</v>
      </c>
      <c r="C504" s="6" t="s">
        <v>217</v>
      </c>
      <c r="D504" s="7">
        <v>7</v>
      </c>
      <c r="E504" s="13">
        <v>1544</v>
      </c>
      <c r="F504" s="13">
        <f t="shared" si="21"/>
        <v>10808</v>
      </c>
      <c r="G504">
        <v>4900</v>
      </c>
      <c r="H504" s="188">
        <f t="shared" si="20"/>
        <v>34300</v>
      </c>
    </row>
    <row r="505" spans="1:8" x14ac:dyDescent="0.25">
      <c r="A505" s="12"/>
      <c r="B505" s="6" t="s">
        <v>291</v>
      </c>
      <c r="C505" s="6" t="s">
        <v>217</v>
      </c>
      <c r="D505" s="7">
        <v>12</v>
      </c>
      <c r="E505" s="13">
        <v>1544</v>
      </c>
      <c r="F505" s="13">
        <f t="shared" si="21"/>
        <v>18528</v>
      </c>
      <c r="G505">
        <v>4900</v>
      </c>
      <c r="H505" s="188">
        <f t="shared" si="20"/>
        <v>58800</v>
      </c>
    </row>
    <row r="506" spans="1:8" x14ac:dyDescent="0.25">
      <c r="A506" s="12"/>
      <c r="B506" s="6" t="s">
        <v>293</v>
      </c>
      <c r="C506" s="6" t="s">
        <v>217</v>
      </c>
      <c r="D506" s="7">
        <v>10</v>
      </c>
      <c r="E506" s="13">
        <v>1544</v>
      </c>
      <c r="F506" s="13">
        <f t="shared" si="21"/>
        <v>15440</v>
      </c>
      <c r="G506">
        <v>4900</v>
      </c>
      <c r="H506" s="188">
        <f t="shared" si="20"/>
        <v>49000</v>
      </c>
    </row>
    <row r="507" spans="1:8" x14ac:dyDescent="0.25">
      <c r="A507" s="12"/>
      <c r="B507" s="6" t="s">
        <v>295</v>
      </c>
      <c r="C507" s="6" t="s">
        <v>217</v>
      </c>
      <c r="D507" s="7">
        <v>4</v>
      </c>
      <c r="E507" s="13">
        <v>1544</v>
      </c>
      <c r="F507" s="13">
        <f t="shared" si="21"/>
        <v>6176</v>
      </c>
      <c r="G507">
        <v>4900</v>
      </c>
      <c r="H507" s="188">
        <f t="shared" si="20"/>
        <v>19600</v>
      </c>
    </row>
    <row r="508" spans="1:8" x14ac:dyDescent="0.25">
      <c r="A508" s="12"/>
      <c r="B508" s="6" t="s">
        <v>297</v>
      </c>
      <c r="C508" s="6" t="s">
        <v>217</v>
      </c>
      <c r="D508" s="7">
        <v>8</v>
      </c>
      <c r="E508" s="13">
        <v>1544</v>
      </c>
      <c r="F508" s="13">
        <f t="shared" si="21"/>
        <v>12352</v>
      </c>
      <c r="G508">
        <v>4900</v>
      </c>
      <c r="H508" s="188">
        <f t="shared" si="20"/>
        <v>39200</v>
      </c>
    </row>
    <row r="509" spans="1:8" x14ac:dyDescent="0.25">
      <c r="A509" s="12"/>
      <c r="B509" s="6" t="s">
        <v>299</v>
      </c>
      <c r="C509" s="6" t="s">
        <v>217</v>
      </c>
      <c r="D509" s="7">
        <v>15</v>
      </c>
      <c r="E509" s="13">
        <v>1544</v>
      </c>
      <c r="F509" s="13">
        <f t="shared" si="21"/>
        <v>23160</v>
      </c>
      <c r="G509">
        <v>4900</v>
      </c>
      <c r="H509" s="188">
        <f t="shared" si="20"/>
        <v>73500</v>
      </c>
    </row>
    <row r="510" spans="1:8" x14ac:dyDescent="0.25">
      <c r="A510" s="12"/>
      <c r="B510" s="6" t="s">
        <v>301</v>
      </c>
      <c r="C510" s="6" t="s">
        <v>217</v>
      </c>
      <c r="D510" s="7">
        <v>12</v>
      </c>
      <c r="E510" s="13">
        <v>1544</v>
      </c>
      <c r="F510" s="13">
        <f t="shared" si="21"/>
        <v>18528</v>
      </c>
      <c r="G510">
        <v>4900</v>
      </c>
      <c r="H510" s="188">
        <f t="shared" si="20"/>
        <v>58800</v>
      </c>
    </row>
    <row r="511" spans="1:8" x14ac:dyDescent="0.25">
      <c r="A511" s="12"/>
      <c r="B511" s="6" t="s">
        <v>363</v>
      </c>
      <c r="C511" s="6" t="s">
        <v>217</v>
      </c>
      <c r="D511" s="7">
        <v>22</v>
      </c>
      <c r="E511" s="13">
        <v>1597.7</v>
      </c>
      <c r="F511" s="13">
        <f t="shared" si="21"/>
        <v>35149.4</v>
      </c>
      <c r="G511">
        <v>3800</v>
      </c>
      <c r="H511" s="188">
        <f t="shared" si="20"/>
        <v>83600</v>
      </c>
    </row>
    <row r="512" spans="1:8" x14ac:dyDescent="0.25">
      <c r="A512" s="12"/>
      <c r="B512" s="6" t="s">
        <v>381</v>
      </c>
      <c r="C512" s="6" t="s">
        <v>217</v>
      </c>
      <c r="D512" s="7">
        <v>30</v>
      </c>
      <c r="E512" s="13">
        <v>731</v>
      </c>
      <c r="F512" s="13">
        <f t="shared" si="21"/>
        <v>21930</v>
      </c>
      <c r="G512">
        <v>2000</v>
      </c>
      <c r="H512" s="188">
        <f t="shared" si="20"/>
        <v>60000</v>
      </c>
    </row>
    <row r="513" spans="1:8" x14ac:dyDescent="0.25">
      <c r="A513" s="12"/>
      <c r="B513" s="6" t="s">
        <v>303</v>
      </c>
      <c r="C513" s="6" t="s">
        <v>217</v>
      </c>
      <c r="D513" s="7">
        <v>6</v>
      </c>
      <c r="E513" s="13">
        <v>2977</v>
      </c>
      <c r="F513" s="13">
        <f t="shared" si="21"/>
        <v>17862</v>
      </c>
      <c r="G513">
        <v>5800</v>
      </c>
      <c r="H513" s="188">
        <f t="shared" si="20"/>
        <v>34800</v>
      </c>
    </row>
    <row r="514" spans="1:8" x14ac:dyDescent="0.25">
      <c r="A514" s="12"/>
      <c r="B514" s="6" t="s">
        <v>305</v>
      </c>
      <c r="C514" s="6" t="s">
        <v>217</v>
      </c>
      <c r="D514" s="7">
        <v>7</v>
      </c>
      <c r="E514" s="13">
        <v>2977</v>
      </c>
      <c r="F514" s="13">
        <f t="shared" si="21"/>
        <v>20839</v>
      </c>
      <c r="G514">
        <v>5800</v>
      </c>
      <c r="H514" s="188">
        <f t="shared" si="20"/>
        <v>40600</v>
      </c>
    </row>
    <row r="515" spans="1:8" x14ac:dyDescent="0.25">
      <c r="A515" s="12"/>
      <c r="B515" s="6" t="s">
        <v>307</v>
      </c>
      <c r="C515" s="6" t="s">
        <v>217</v>
      </c>
      <c r="D515" s="7">
        <v>4</v>
      </c>
      <c r="E515" s="13">
        <v>2977</v>
      </c>
      <c r="F515" s="13">
        <f t="shared" si="21"/>
        <v>11908</v>
      </c>
      <c r="G515">
        <v>5800</v>
      </c>
      <c r="H515" s="188">
        <f t="shared" si="20"/>
        <v>23200</v>
      </c>
    </row>
    <row r="516" spans="1:8" x14ac:dyDescent="0.25">
      <c r="A516" s="12"/>
      <c r="B516" s="6" t="s">
        <v>309</v>
      </c>
      <c r="C516" s="6" t="s">
        <v>217</v>
      </c>
      <c r="D516" s="7">
        <v>4</v>
      </c>
      <c r="E516" s="13">
        <v>2977</v>
      </c>
      <c r="F516" s="13">
        <f t="shared" si="21"/>
        <v>11908</v>
      </c>
      <c r="G516">
        <v>5800</v>
      </c>
      <c r="H516" s="188">
        <f t="shared" si="20"/>
        <v>23200</v>
      </c>
    </row>
    <row r="517" spans="1:8" x14ac:dyDescent="0.25">
      <c r="A517" s="12"/>
      <c r="B517" s="6" t="s">
        <v>311</v>
      </c>
      <c r="C517" s="6" t="s">
        <v>217</v>
      </c>
      <c r="D517" s="7">
        <v>15</v>
      </c>
      <c r="E517" s="13">
        <v>2977</v>
      </c>
      <c r="F517" s="13">
        <f t="shared" si="21"/>
        <v>44655</v>
      </c>
      <c r="G517">
        <v>5800</v>
      </c>
      <c r="H517" s="188">
        <f t="shared" si="20"/>
        <v>87000</v>
      </c>
    </row>
    <row r="518" spans="1:8" x14ac:dyDescent="0.25">
      <c r="A518" s="12"/>
      <c r="B518" s="6" t="s">
        <v>313</v>
      </c>
      <c r="C518" s="6" t="s">
        <v>217</v>
      </c>
      <c r="D518" s="7">
        <v>2</v>
      </c>
      <c r="E518" s="13">
        <v>2977</v>
      </c>
      <c r="F518" s="13">
        <f t="shared" si="21"/>
        <v>5954</v>
      </c>
      <c r="G518">
        <v>5800</v>
      </c>
      <c r="H518" s="188">
        <f t="shared" si="20"/>
        <v>11600</v>
      </c>
    </row>
    <row r="519" spans="1:8" x14ac:dyDescent="0.25">
      <c r="A519" s="12"/>
      <c r="B519" s="6" t="s">
        <v>315</v>
      </c>
      <c r="C519" s="6" t="s">
        <v>217</v>
      </c>
      <c r="D519" s="7">
        <v>3</v>
      </c>
      <c r="E519" s="13">
        <v>2977</v>
      </c>
      <c r="F519" s="13">
        <f t="shared" si="21"/>
        <v>8931</v>
      </c>
      <c r="G519">
        <v>5800</v>
      </c>
      <c r="H519" s="188">
        <f t="shared" si="20"/>
        <v>17400</v>
      </c>
    </row>
    <row r="520" spans="1:8" x14ac:dyDescent="0.25">
      <c r="A520" s="12"/>
      <c r="B520" s="6" t="s">
        <v>317</v>
      </c>
      <c r="C520" s="6" t="s">
        <v>217</v>
      </c>
      <c r="D520" s="7">
        <v>18</v>
      </c>
      <c r="E520" s="13">
        <v>2977</v>
      </c>
      <c r="F520" s="13">
        <f t="shared" si="21"/>
        <v>53586</v>
      </c>
      <c r="G520">
        <v>5800</v>
      </c>
      <c r="H520" s="188">
        <f t="shared" si="20"/>
        <v>104400</v>
      </c>
    </row>
    <row r="521" spans="1:8" x14ac:dyDescent="0.25">
      <c r="A521" s="12"/>
      <c r="B521" s="6" t="s">
        <v>319</v>
      </c>
      <c r="C521" s="6" t="s">
        <v>217</v>
      </c>
      <c r="D521" s="7">
        <v>3</v>
      </c>
      <c r="E521" s="13">
        <v>2977</v>
      </c>
      <c r="F521" s="13">
        <f t="shared" si="21"/>
        <v>8931</v>
      </c>
      <c r="G521">
        <v>5800</v>
      </c>
      <c r="H521" s="188">
        <f t="shared" si="20"/>
        <v>17400</v>
      </c>
    </row>
    <row r="522" spans="1:8" x14ac:dyDescent="0.25">
      <c r="A522" s="12"/>
      <c r="B522" s="6" t="s">
        <v>321</v>
      </c>
      <c r="C522" s="6" t="s">
        <v>217</v>
      </c>
      <c r="D522" s="7">
        <v>7</v>
      </c>
      <c r="E522" s="13">
        <v>2977</v>
      </c>
      <c r="F522" s="13">
        <f t="shared" si="21"/>
        <v>20839</v>
      </c>
      <c r="G522">
        <v>5800</v>
      </c>
      <c r="H522" s="188">
        <f t="shared" ref="H522:H585" si="22">G522*D522</f>
        <v>40600</v>
      </c>
    </row>
    <row r="523" spans="1:8" x14ac:dyDescent="0.25">
      <c r="A523" s="12"/>
      <c r="B523" s="6" t="s">
        <v>323</v>
      </c>
      <c r="C523" s="6" t="s">
        <v>217</v>
      </c>
      <c r="D523" s="7">
        <v>6</v>
      </c>
      <c r="E523" s="13">
        <v>2977</v>
      </c>
      <c r="F523" s="13">
        <f t="shared" si="21"/>
        <v>17862</v>
      </c>
      <c r="G523">
        <v>5800</v>
      </c>
      <c r="H523" s="188">
        <f t="shared" si="22"/>
        <v>34800</v>
      </c>
    </row>
    <row r="524" spans="1:8" x14ac:dyDescent="0.25">
      <c r="A524" s="12"/>
      <c r="B524" s="6" t="s">
        <v>325</v>
      </c>
      <c r="C524" s="6" t="s">
        <v>217</v>
      </c>
      <c r="D524" s="7">
        <v>3</v>
      </c>
      <c r="E524" s="13">
        <v>2977</v>
      </c>
      <c r="F524" s="13">
        <f t="shared" si="21"/>
        <v>8931</v>
      </c>
      <c r="G524">
        <v>5800</v>
      </c>
      <c r="H524" s="188">
        <f t="shared" si="22"/>
        <v>17400</v>
      </c>
    </row>
    <row r="525" spans="1:8" x14ac:dyDescent="0.25">
      <c r="A525" s="12"/>
      <c r="B525" s="6" t="s">
        <v>327</v>
      </c>
      <c r="C525" s="6" t="s">
        <v>217</v>
      </c>
      <c r="D525" s="7">
        <v>1</v>
      </c>
      <c r="E525" s="13">
        <v>2977</v>
      </c>
      <c r="F525" s="13">
        <f t="shared" si="21"/>
        <v>2977</v>
      </c>
      <c r="G525">
        <v>5800</v>
      </c>
      <c r="H525" s="188">
        <f t="shared" si="22"/>
        <v>5800</v>
      </c>
    </row>
    <row r="526" spans="1:8" x14ac:dyDescent="0.25">
      <c r="A526" s="12"/>
      <c r="B526" s="6" t="s">
        <v>329</v>
      </c>
      <c r="C526" s="6" t="s">
        <v>217</v>
      </c>
      <c r="D526" s="7">
        <v>13</v>
      </c>
      <c r="E526" s="13">
        <v>2977</v>
      </c>
      <c r="F526" s="13">
        <f t="shared" si="21"/>
        <v>38701</v>
      </c>
      <c r="G526">
        <v>5800</v>
      </c>
      <c r="H526" s="188">
        <f t="shared" si="22"/>
        <v>75400</v>
      </c>
    </row>
    <row r="527" spans="1:8" x14ac:dyDescent="0.25">
      <c r="A527" s="12"/>
      <c r="B527" s="6" t="s">
        <v>367</v>
      </c>
      <c r="C527" s="6" t="s">
        <v>217</v>
      </c>
      <c r="D527" s="7">
        <v>5</v>
      </c>
      <c r="E527" s="13">
        <v>2977</v>
      </c>
      <c r="F527" s="13">
        <f t="shared" si="21"/>
        <v>14885</v>
      </c>
      <c r="G527">
        <v>6700</v>
      </c>
      <c r="H527" s="188">
        <f t="shared" si="22"/>
        <v>33500</v>
      </c>
    </row>
    <row r="528" spans="1:8" x14ac:dyDescent="0.25">
      <c r="A528" s="12"/>
      <c r="B528" s="6" t="s">
        <v>369</v>
      </c>
      <c r="C528" s="6" t="s">
        <v>217</v>
      </c>
      <c r="D528" s="7">
        <v>8</v>
      </c>
      <c r="E528" s="13">
        <v>1597.7</v>
      </c>
      <c r="F528" s="13">
        <f t="shared" si="21"/>
        <v>12781.6</v>
      </c>
      <c r="G528">
        <v>4100</v>
      </c>
      <c r="H528" s="188">
        <f t="shared" si="22"/>
        <v>32800</v>
      </c>
    </row>
    <row r="529" spans="1:8" x14ac:dyDescent="0.25">
      <c r="A529" s="12"/>
      <c r="B529" s="6" t="s">
        <v>371</v>
      </c>
      <c r="C529" s="6" t="s">
        <v>217</v>
      </c>
      <c r="D529" s="7">
        <v>11</v>
      </c>
      <c r="E529" s="13">
        <v>731</v>
      </c>
      <c r="F529" s="13">
        <f t="shared" si="21"/>
        <v>8041</v>
      </c>
      <c r="G529">
        <v>2200</v>
      </c>
      <c r="H529" s="188">
        <f t="shared" si="22"/>
        <v>24200</v>
      </c>
    </row>
    <row r="530" spans="1:8" x14ac:dyDescent="0.25">
      <c r="A530" s="12"/>
      <c r="B530" s="6" t="s">
        <v>357</v>
      </c>
      <c r="C530" s="6" t="s">
        <v>217</v>
      </c>
      <c r="D530" s="7">
        <v>1</v>
      </c>
      <c r="E530" s="13">
        <v>1277</v>
      </c>
      <c r="F530" s="13">
        <f t="shared" si="21"/>
        <v>1277</v>
      </c>
      <c r="G530">
        <v>3200</v>
      </c>
      <c r="H530" s="188">
        <f t="shared" si="22"/>
        <v>3200</v>
      </c>
    </row>
    <row r="531" spans="1:8" x14ac:dyDescent="0.25">
      <c r="A531" s="12"/>
      <c r="B531" s="6" t="s">
        <v>359</v>
      </c>
      <c r="C531" s="6" t="s">
        <v>217</v>
      </c>
      <c r="D531" s="7">
        <v>1</v>
      </c>
      <c r="E531" s="13">
        <v>1277</v>
      </c>
      <c r="F531" s="13">
        <f t="shared" si="21"/>
        <v>1277</v>
      </c>
      <c r="G531">
        <v>3200</v>
      </c>
      <c r="H531" s="188">
        <f t="shared" si="22"/>
        <v>3200</v>
      </c>
    </row>
    <row r="532" spans="1:8" x14ac:dyDescent="0.25">
      <c r="A532" s="12"/>
      <c r="B532" s="6" t="s">
        <v>389</v>
      </c>
      <c r="C532" s="6" t="s">
        <v>217</v>
      </c>
      <c r="D532" s="7">
        <v>7</v>
      </c>
      <c r="E532" s="13">
        <v>2977</v>
      </c>
      <c r="F532" s="13">
        <f t="shared" si="21"/>
        <v>20839</v>
      </c>
      <c r="G532">
        <v>5800</v>
      </c>
      <c r="H532" s="188">
        <f t="shared" si="22"/>
        <v>40600</v>
      </c>
    </row>
    <row r="533" spans="1:8" x14ac:dyDescent="0.25">
      <c r="A533" s="12"/>
      <c r="B533" s="6" t="s">
        <v>385</v>
      </c>
      <c r="C533" s="6" t="s">
        <v>217</v>
      </c>
      <c r="D533" s="7">
        <v>3</v>
      </c>
      <c r="E533" s="13">
        <v>1277</v>
      </c>
      <c r="F533" s="13">
        <f t="shared" ref="F533:F543" si="23">D533*E533</f>
        <v>3831</v>
      </c>
      <c r="G533">
        <v>3200</v>
      </c>
      <c r="H533" s="188">
        <f t="shared" si="22"/>
        <v>9600</v>
      </c>
    </row>
    <row r="534" spans="1:8" x14ac:dyDescent="0.25">
      <c r="A534" s="12"/>
      <c r="B534" s="6" t="s">
        <v>333</v>
      </c>
      <c r="C534" s="6" t="s">
        <v>217</v>
      </c>
      <c r="D534" s="7">
        <v>5</v>
      </c>
      <c r="E534" s="13">
        <v>1277</v>
      </c>
      <c r="F534" s="13">
        <f t="shared" si="23"/>
        <v>6385</v>
      </c>
      <c r="G534">
        <v>3200</v>
      </c>
      <c r="H534" s="188">
        <f t="shared" si="22"/>
        <v>16000</v>
      </c>
    </row>
    <row r="535" spans="1:8" x14ac:dyDescent="0.25">
      <c r="A535" s="12"/>
      <c r="B535" s="6" t="s">
        <v>335</v>
      </c>
      <c r="C535" s="6" t="s">
        <v>217</v>
      </c>
      <c r="D535" s="7">
        <v>1</v>
      </c>
      <c r="E535" s="13">
        <v>1277</v>
      </c>
      <c r="F535" s="13">
        <f t="shared" si="23"/>
        <v>1277</v>
      </c>
      <c r="G535">
        <v>3200</v>
      </c>
      <c r="H535" s="188">
        <f t="shared" si="22"/>
        <v>3200</v>
      </c>
    </row>
    <row r="536" spans="1:8" x14ac:dyDescent="0.25">
      <c r="A536" s="12"/>
      <c r="B536" s="6" t="s">
        <v>337</v>
      </c>
      <c r="C536" s="6" t="s">
        <v>217</v>
      </c>
      <c r="D536" s="7">
        <v>2</v>
      </c>
      <c r="E536" s="13">
        <v>1277</v>
      </c>
      <c r="F536" s="13">
        <f t="shared" si="23"/>
        <v>2554</v>
      </c>
      <c r="G536">
        <v>3200</v>
      </c>
      <c r="H536" s="188">
        <f t="shared" si="22"/>
        <v>6400</v>
      </c>
    </row>
    <row r="537" spans="1:8" x14ac:dyDescent="0.25">
      <c r="A537" s="12"/>
      <c r="B537" s="6" t="s">
        <v>339</v>
      </c>
      <c r="C537" s="6" t="s">
        <v>217</v>
      </c>
      <c r="D537" s="7">
        <v>18</v>
      </c>
      <c r="E537" s="13">
        <v>731</v>
      </c>
      <c r="F537" s="13">
        <f t="shared" si="23"/>
        <v>13158</v>
      </c>
      <c r="G537">
        <v>2000</v>
      </c>
      <c r="H537" s="188">
        <f t="shared" si="22"/>
        <v>36000</v>
      </c>
    </row>
    <row r="538" spans="1:8" x14ac:dyDescent="0.25">
      <c r="A538" s="12"/>
      <c r="B538" s="6" t="s">
        <v>341</v>
      </c>
      <c r="C538" s="6" t="s">
        <v>217</v>
      </c>
      <c r="D538" s="7">
        <v>15</v>
      </c>
      <c r="E538" s="13">
        <v>1597.7</v>
      </c>
      <c r="F538" s="13">
        <f t="shared" si="23"/>
        <v>23965.5</v>
      </c>
      <c r="G538">
        <v>3800</v>
      </c>
      <c r="H538" s="188">
        <f t="shared" si="22"/>
        <v>57000</v>
      </c>
    </row>
    <row r="539" spans="1:8" x14ac:dyDescent="0.25">
      <c r="A539" s="12"/>
      <c r="B539" s="6" t="s">
        <v>343</v>
      </c>
      <c r="C539" s="6" t="s">
        <v>217</v>
      </c>
      <c r="D539" s="7">
        <v>3</v>
      </c>
      <c r="E539" s="13">
        <v>2977</v>
      </c>
      <c r="F539" s="13">
        <f t="shared" si="23"/>
        <v>8931</v>
      </c>
      <c r="G539">
        <v>5800</v>
      </c>
      <c r="H539" s="188">
        <f t="shared" si="22"/>
        <v>17400</v>
      </c>
    </row>
    <row r="540" spans="1:8" x14ac:dyDescent="0.25">
      <c r="A540" s="12"/>
      <c r="B540" s="6" t="s">
        <v>345</v>
      </c>
      <c r="C540" s="6" t="s">
        <v>217</v>
      </c>
      <c r="D540" s="7">
        <v>14</v>
      </c>
      <c r="E540" s="13">
        <v>832</v>
      </c>
      <c r="F540" s="13">
        <f t="shared" si="23"/>
        <v>11648</v>
      </c>
      <c r="G540">
        <v>2700</v>
      </c>
      <c r="H540" s="188">
        <f t="shared" si="22"/>
        <v>37800</v>
      </c>
    </row>
    <row r="541" spans="1:8" x14ac:dyDescent="0.25">
      <c r="A541" s="12"/>
      <c r="B541" s="6" t="s">
        <v>347</v>
      </c>
      <c r="C541" s="6" t="s">
        <v>217</v>
      </c>
      <c r="D541" s="7">
        <v>9</v>
      </c>
      <c r="E541" s="13">
        <v>1544</v>
      </c>
      <c r="F541" s="13">
        <f t="shared" si="23"/>
        <v>13896</v>
      </c>
      <c r="G541">
        <v>4900</v>
      </c>
      <c r="H541" s="188">
        <f t="shared" si="22"/>
        <v>44100</v>
      </c>
    </row>
    <row r="542" spans="1:8" x14ac:dyDescent="0.25">
      <c r="A542" s="12"/>
      <c r="B542" s="6" t="s">
        <v>375</v>
      </c>
      <c r="C542" s="6" t="s">
        <v>217</v>
      </c>
      <c r="D542" s="7">
        <v>2</v>
      </c>
      <c r="E542" s="13">
        <v>731</v>
      </c>
      <c r="F542" s="13">
        <f t="shared" si="23"/>
        <v>1462</v>
      </c>
      <c r="G542">
        <v>2200</v>
      </c>
      <c r="H542" s="188">
        <f t="shared" si="22"/>
        <v>4400</v>
      </c>
    </row>
    <row r="543" spans="1:8" x14ac:dyDescent="0.25">
      <c r="A543" s="6">
        <v>9024</v>
      </c>
      <c r="B543" s="6" t="s">
        <v>377</v>
      </c>
      <c r="C543" s="6" t="s">
        <v>217</v>
      </c>
      <c r="D543" s="7">
        <v>1</v>
      </c>
      <c r="E543" s="13">
        <v>1597.7</v>
      </c>
      <c r="F543" s="13">
        <f t="shared" si="23"/>
        <v>1597.7</v>
      </c>
      <c r="G543">
        <v>4100</v>
      </c>
      <c r="H543" s="188">
        <f t="shared" si="22"/>
        <v>4100</v>
      </c>
    </row>
    <row r="544" spans="1:8" x14ac:dyDescent="0.25">
      <c r="A544" s="89">
        <v>45689</v>
      </c>
      <c r="B544" s="93"/>
      <c r="C544" s="93"/>
      <c r="D544" s="93"/>
      <c r="E544" s="94"/>
      <c r="F544" s="94"/>
      <c r="H544" s="188">
        <f t="shared" si="22"/>
        <v>0</v>
      </c>
    </row>
    <row r="545" spans="1:8" x14ac:dyDescent="0.25">
      <c r="A545" s="6" t="s">
        <v>215</v>
      </c>
      <c r="B545" s="6" t="s">
        <v>216</v>
      </c>
      <c r="C545" s="6" t="s">
        <v>217</v>
      </c>
      <c r="D545" s="7">
        <v>16</v>
      </c>
      <c r="E545" s="13">
        <v>731</v>
      </c>
      <c r="F545" s="13">
        <f>D545*E545</f>
        <v>11696</v>
      </c>
      <c r="G545">
        <v>2000</v>
      </c>
      <c r="H545" s="188">
        <f t="shared" si="22"/>
        <v>32000</v>
      </c>
    </row>
    <row r="546" spans="1:8" x14ac:dyDescent="0.25">
      <c r="A546" s="6" t="s">
        <v>218</v>
      </c>
      <c r="B546" s="6" t="s">
        <v>219</v>
      </c>
      <c r="C546" s="6" t="s">
        <v>217</v>
      </c>
      <c r="D546" s="7">
        <v>20</v>
      </c>
      <c r="E546" s="13">
        <v>731</v>
      </c>
      <c r="F546" s="13">
        <f t="shared" ref="F546:F609" si="24">D546*E546</f>
        <v>14620</v>
      </c>
      <c r="G546">
        <v>2000</v>
      </c>
      <c r="H546" s="188">
        <f t="shared" si="22"/>
        <v>40000</v>
      </c>
    </row>
    <row r="547" spans="1:8" x14ac:dyDescent="0.25">
      <c r="A547" s="6" t="s">
        <v>220</v>
      </c>
      <c r="B547" s="6" t="s">
        <v>221</v>
      </c>
      <c r="C547" s="6" t="s">
        <v>217</v>
      </c>
      <c r="D547" s="7">
        <v>27</v>
      </c>
      <c r="E547" s="13">
        <v>731</v>
      </c>
      <c r="F547" s="13">
        <f t="shared" si="24"/>
        <v>19737</v>
      </c>
      <c r="G547">
        <v>2000</v>
      </c>
      <c r="H547" s="188">
        <f t="shared" si="22"/>
        <v>54000</v>
      </c>
    </row>
    <row r="548" spans="1:8" x14ac:dyDescent="0.25">
      <c r="A548" s="6" t="s">
        <v>222</v>
      </c>
      <c r="B548" s="6" t="s">
        <v>223</v>
      </c>
      <c r="C548" s="6" t="s">
        <v>217</v>
      </c>
      <c r="D548" s="7">
        <v>29</v>
      </c>
      <c r="E548" s="13">
        <v>731</v>
      </c>
      <c r="F548" s="13">
        <f t="shared" si="24"/>
        <v>21199</v>
      </c>
      <c r="G548">
        <v>2000</v>
      </c>
      <c r="H548" s="188">
        <f t="shared" si="22"/>
        <v>58000</v>
      </c>
    </row>
    <row r="549" spans="1:8" x14ac:dyDescent="0.25">
      <c r="A549" s="6" t="s">
        <v>224</v>
      </c>
      <c r="B549" s="6" t="s">
        <v>225</v>
      </c>
      <c r="C549" s="6" t="s">
        <v>217</v>
      </c>
      <c r="D549" s="7">
        <v>33</v>
      </c>
      <c r="E549" s="13">
        <v>731</v>
      </c>
      <c r="F549" s="13">
        <f t="shared" si="24"/>
        <v>24123</v>
      </c>
      <c r="G549">
        <v>2000</v>
      </c>
      <c r="H549" s="188">
        <f t="shared" si="22"/>
        <v>66000</v>
      </c>
    </row>
    <row r="550" spans="1:8" x14ac:dyDescent="0.25">
      <c r="A550" s="6" t="s">
        <v>226</v>
      </c>
      <c r="B550" s="6" t="s">
        <v>227</v>
      </c>
      <c r="C550" s="6" t="s">
        <v>217</v>
      </c>
      <c r="D550" s="7">
        <v>1</v>
      </c>
      <c r="E550" s="13">
        <v>731</v>
      </c>
      <c r="F550" s="13">
        <f t="shared" si="24"/>
        <v>731</v>
      </c>
      <c r="G550">
        <v>2000</v>
      </c>
      <c r="H550" s="188">
        <f t="shared" si="22"/>
        <v>2000</v>
      </c>
    </row>
    <row r="551" spans="1:8" x14ac:dyDescent="0.25">
      <c r="A551" s="6" t="s">
        <v>228</v>
      </c>
      <c r="B551" s="6" t="s">
        <v>229</v>
      </c>
      <c r="C551" s="6" t="s">
        <v>217</v>
      </c>
      <c r="D551" s="7">
        <v>22</v>
      </c>
      <c r="E551" s="13">
        <v>731</v>
      </c>
      <c r="F551" s="13">
        <f t="shared" si="24"/>
        <v>16082</v>
      </c>
      <c r="G551">
        <v>2000</v>
      </c>
      <c r="H551" s="188">
        <f t="shared" si="22"/>
        <v>44000</v>
      </c>
    </row>
    <row r="552" spans="1:8" x14ac:dyDescent="0.25">
      <c r="A552" s="6" t="s">
        <v>230</v>
      </c>
      <c r="B552" s="6" t="s">
        <v>231</v>
      </c>
      <c r="C552" s="6" t="s">
        <v>217</v>
      </c>
      <c r="D552" s="7">
        <v>24</v>
      </c>
      <c r="E552" s="13">
        <v>731</v>
      </c>
      <c r="F552" s="13">
        <f t="shared" si="24"/>
        <v>17544</v>
      </c>
      <c r="G552">
        <v>2000</v>
      </c>
      <c r="H552" s="188">
        <f t="shared" si="22"/>
        <v>48000</v>
      </c>
    </row>
    <row r="553" spans="1:8" x14ac:dyDescent="0.25">
      <c r="A553" s="6" t="s">
        <v>232</v>
      </c>
      <c r="B553" s="6" t="s">
        <v>233</v>
      </c>
      <c r="C553" s="6" t="s">
        <v>217</v>
      </c>
      <c r="D553" s="7">
        <v>28</v>
      </c>
      <c r="E553" s="13">
        <v>731</v>
      </c>
      <c r="F553" s="13">
        <f t="shared" si="24"/>
        <v>20468</v>
      </c>
      <c r="G553">
        <v>2000</v>
      </c>
      <c r="H553" s="188">
        <f t="shared" si="22"/>
        <v>56000</v>
      </c>
    </row>
    <row r="554" spans="1:8" x14ac:dyDescent="0.25">
      <c r="A554" s="6" t="s">
        <v>234</v>
      </c>
      <c r="B554" s="6" t="s">
        <v>235</v>
      </c>
      <c r="C554" s="6" t="s">
        <v>217</v>
      </c>
      <c r="D554" s="7">
        <v>17</v>
      </c>
      <c r="E554" s="13">
        <v>731</v>
      </c>
      <c r="F554" s="13">
        <f t="shared" si="24"/>
        <v>12427</v>
      </c>
      <c r="G554">
        <v>2000</v>
      </c>
      <c r="H554" s="188">
        <f t="shared" si="22"/>
        <v>34000</v>
      </c>
    </row>
    <row r="555" spans="1:8" x14ac:dyDescent="0.25">
      <c r="A555" s="6" t="s">
        <v>236</v>
      </c>
      <c r="B555" s="6" t="s">
        <v>237</v>
      </c>
      <c r="C555" s="6" t="s">
        <v>217</v>
      </c>
      <c r="D555" s="7">
        <v>30</v>
      </c>
      <c r="E555" s="13">
        <v>731</v>
      </c>
      <c r="F555" s="13">
        <f t="shared" si="24"/>
        <v>21930</v>
      </c>
      <c r="G555">
        <v>2000</v>
      </c>
      <c r="H555" s="188">
        <f t="shared" si="22"/>
        <v>60000</v>
      </c>
    </row>
    <row r="556" spans="1:8" x14ac:dyDescent="0.25">
      <c r="A556" s="6" t="s">
        <v>238</v>
      </c>
      <c r="B556" s="6" t="s">
        <v>239</v>
      </c>
      <c r="C556" s="6" t="s">
        <v>217</v>
      </c>
      <c r="D556" s="7">
        <v>19</v>
      </c>
      <c r="E556" s="13">
        <v>731</v>
      </c>
      <c r="F556" s="13">
        <f t="shared" si="24"/>
        <v>13889</v>
      </c>
      <c r="G556">
        <v>2000</v>
      </c>
      <c r="H556" s="188">
        <f t="shared" si="22"/>
        <v>38000</v>
      </c>
    </row>
    <row r="557" spans="1:8" x14ac:dyDescent="0.25">
      <c r="A557" s="6" t="s">
        <v>240</v>
      </c>
      <c r="B557" s="6" t="s">
        <v>241</v>
      </c>
      <c r="C557" s="6" t="s">
        <v>217</v>
      </c>
      <c r="D557" s="7">
        <v>12</v>
      </c>
      <c r="E557" s="13">
        <v>731</v>
      </c>
      <c r="F557" s="13">
        <f t="shared" si="24"/>
        <v>8772</v>
      </c>
      <c r="G557">
        <v>2000</v>
      </c>
      <c r="H557" s="188">
        <f t="shared" si="22"/>
        <v>24000</v>
      </c>
    </row>
    <row r="558" spans="1:8" x14ac:dyDescent="0.25">
      <c r="A558" s="6" t="s">
        <v>242</v>
      </c>
      <c r="B558" s="6" t="s">
        <v>243</v>
      </c>
      <c r="C558" s="6" t="s">
        <v>217</v>
      </c>
      <c r="D558" s="7">
        <v>28</v>
      </c>
      <c r="E558" s="13">
        <v>731</v>
      </c>
      <c r="F558" s="13">
        <f t="shared" si="24"/>
        <v>20468</v>
      </c>
      <c r="G558">
        <v>2000</v>
      </c>
      <c r="H558" s="188">
        <f t="shared" si="22"/>
        <v>56000</v>
      </c>
    </row>
    <row r="559" spans="1:8" x14ac:dyDescent="0.25">
      <c r="A559" s="6" t="s">
        <v>244</v>
      </c>
      <c r="B559" s="6" t="s">
        <v>245</v>
      </c>
      <c r="C559" s="6" t="s">
        <v>217</v>
      </c>
      <c r="D559" s="7">
        <v>10</v>
      </c>
      <c r="E559" s="13">
        <v>1597.7</v>
      </c>
      <c r="F559" s="13">
        <f t="shared" si="24"/>
        <v>15977</v>
      </c>
      <c r="G559">
        <v>3800</v>
      </c>
      <c r="H559" s="188">
        <f t="shared" si="22"/>
        <v>38000</v>
      </c>
    </row>
    <row r="560" spans="1:8" x14ac:dyDescent="0.25">
      <c r="A560" s="6" t="s">
        <v>246</v>
      </c>
      <c r="B560" s="6" t="s">
        <v>247</v>
      </c>
      <c r="C560" s="6" t="s">
        <v>217</v>
      </c>
      <c r="D560" s="7">
        <v>14</v>
      </c>
      <c r="E560" s="13">
        <v>1597.7</v>
      </c>
      <c r="F560" s="13">
        <f t="shared" si="24"/>
        <v>22367.8</v>
      </c>
      <c r="G560">
        <v>3800</v>
      </c>
      <c r="H560" s="188">
        <f t="shared" si="22"/>
        <v>53200</v>
      </c>
    </row>
    <row r="561" spans="1:8" x14ac:dyDescent="0.25">
      <c r="A561" s="6" t="s">
        <v>248</v>
      </c>
      <c r="B561" s="6" t="s">
        <v>249</v>
      </c>
      <c r="C561" s="6" t="s">
        <v>217</v>
      </c>
      <c r="D561" s="7">
        <v>5</v>
      </c>
      <c r="E561" s="13">
        <v>1597.7</v>
      </c>
      <c r="F561" s="13">
        <f t="shared" si="24"/>
        <v>7988.5</v>
      </c>
      <c r="G561">
        <v>3800</v>
      </c>
      <c r="H561" s="188">
        <f t="shared" si="22"/>
        <v>19000</v>
      </c>
    </row>
    <row r="562" spans="1:8" x14ac:dyDescent="0.25">
      <c r="A562" s="6" t="s">
        <v>250</v>
      </c>
      <c r="B562" s="6" t="s">
        <v>251</v>
      </c>
      <c r="C562" s="6" t="s">
        <v>217</v>
      </c>
      <c r="D562" s="7">
        <v>11</v>
      </c>
      <c r="E562" s="13">
        <v>1597.7</v>
      </c>
      <c r="F562" s="13">
        <f t="shared" si="24"/>
        <v>17574.7</v>
      </c>
      <c r="G562">
        <v>3800</v>
      </c>
      <c r="H562" s="188">
        <f t="shared" si="22"/>
        <v>41800</v>
      </c>
    </row>
    <row r="563" spans="1:8" x14ac:dyDescent="0.25">
      <c r="A563" s="6" t="s">
        <v>252</v>
      </c>
      <c r="B563" s="6" t="s">
        <v>253</v>
      </c>
      <c r="C563" s="6" t="s">
        <v>217</v>
      </c>
      <c r="D563" s="7">
        <v>15</v>
      </c>
      <c r="E563" s="13">
        <v>1597.7</v>
      </c>
      <c r="F563" s="13">
        <f t="shared" si="24"/>
        <v>23965.5</v>
      </c>
      <c r="G563">
        <v>3800</v>
      </c>
      <c r="H563" s="188">
        <f t="shared" si="22"/>
        <v>57000</v>
      </c>
    </row>
    <row r="564" spans="1:8" x14ac:dyDescent="0.25">
      <c r="A564" s="6" t="s">
        <v>254</v>
      </c>
      <c r="B564" s="6" t="s">
        <v>255</v>
      </c>
      <c r="C564" s="6" t="s">
        <v>217</v>
      </c>
      <c r="D564" s="7">
        <v>9</v>
      </c>
      <c r="E564" s="13">
        <v>1597.7</v>
      </c>
      <c r="F564" s="13">
        <f t="shared" si="24"/>
        <v>14379.300000000001</v>
      </c>
      <c r="G564">
        <v>3800</v>
      </c>
      <c r="H564" s="188">
        <f t="shared" si="22"/>
        <v>34200</v>
      </c>
    </row>
    <row r="565" spans="1:8" x14ac:dyDescent="0.25">
      <c r="A565" s="6" t="s">
        <v>256</v>
      </c>
      <c r="B565" s="6" t="s">
        <v>257</v>
      </c>
      <c r="C565" s="6" t="s">
        <v>217</v>
      </c>
      <c r="D565" s="7">
        <v>9</v>
      </c>
      <c r="E565" s="13">
        <v>1597.7</v>
      </c>
      <c r="F565" s="13">
        <f t="shared" si="24"/>
        <v>14379.300000000001</v>
      </c>
      <c r="G565">
        <v>3800</v>
      </c>
      <c r="H565" s="188">
        <f t="shared" si="22"/>
        <v>34200</v>
      </c>
    </row>
    <row r="566" spans="1:8" x14ac:dyDescent="0.25">
      <c r="A566" s="6" t="s">
        <v>258</v>
      </c>
      <c r="B566" s="6" t="s">
        <v>259</v>
      </c>
      <c r="C566" s="6" t="s">
        <v>217</v>
      </c>
      <c r="D566" s="7">
        <v>31</v>
      </c>
      <c r="E566" s="13">
        <v>1597.7</v>
      </c>
      <c r="F566" s="13">
        <f t="shared" si="24"/>
        <v>49528.700000000004</v>
      </c>
      <c r="G566">
        <v>3800</v>
      </c>
      <c r="H566" s="188">
        <f t="shared" si="22"/>
        <v>117800</v>
      </c>
    </row>
    <row r="567" spans="1:8" x14ac:dyDescent="0.25">
      <c r="A567" s="6" t="s">
        <v>260</v>
      </c>
      <c r="B567" s="6" t="s">
        <v>261</v>
      </c>
      <c r="C567" s="6" t="s">
        <v>217</v>
      </c>
      <c r="D567" s="7">
        <v>6</v>
      </c>
      <c r="E567" s="13">
        <v>1597.7</v>
      </c>
      <c r="F567" s="13">
        <f t="shared" si="24"/>
        <v>9586.2000000000007</v>
      </c>
      <c r="G567">
        <v>3800</v>
      </c>
      <c r="H567" s="188">
        <f t="shared" si="22"/>
        <v>22800</v>
      </c>
    </row>
    <row r="568" spans="1:8" x14ac:dyDescent="0.25">
      <c r="A568" s="6" t="s">
        <v>262</v>
      </c>
      <c r="B568" s="6" t="s">
        <v>263</v>
      </c>
      <c r="C568" s="6" t="s">
        <v>217</v>
      </c>
      <c r="D568" s="7">
        <v>14</v>
      </c>
      <c r="E568" s="13">
        <v>1597.7</v>
      </c>
      <c r="F568" s="13">
        <f t="shared" si="24"/>
        <v>22367.8</v>
      </c>
      <c r="G568">
        <v>3800</v>
      </c>
      <c r="H568" s="188">
        <f t="shared" si="22"/>
        <v>53200</v>
      </c>
    </row>
    <row r="569" spans="1:8" x14ac:dyDescent="0.25">
      <c r="A569" s="6" t="s">
        <v>264</v>
      </c>
      <c r="B569" s="6" t="s">
        <v>265</v>
      </c>
      <c r="C569" s="6" t="s">
        <v>217</v>
      </c>
      <c r="D569" s="7">
        <v>11</v>
      </c>
      <c r="E569" s="13">
        <v>1597.7</v>
      </c>
      <c r="F569" s="13">
        <f t="shared" si="24"/>
        <v>17574.7</v>
      </c>
      <c r="G569">
        <v>3800</v>
      </c>
      <c r="H569" s="188">
        <f t="shared" si="22"/>
        <v>41800</v>
      </c>
    </row>
    <row r="570" spans="1:8" x14ac:dyDescent="0.25">
      <c r="A570" s="6" t="s">
        <v>266</v>
      </c>
      <c r="B570" s="6" t="s">
        <v>267</v>
      </c>
      <c r="C570" s="6" t="s">
        <v>217</v>
      </c>
      <c r="D570" s="7">
        <v>16</v>
      </c>
      <c r="E570" s="13">
        <v>1597.7</v>
      </c>
      <c r="F570" s="13">
        <f t="shared" si="24"/>
        <v>25563.200000000001</v>
      </c>
      <c r="G570">
        <v>3800</v>
      </c>
      <c r="H570" s="188">
        <f t="shared" si="22"/>
        <v>60800</v>
      </c>
    </row>
    <row r="571" spans="1:8" x14ac:dyDescent="0.25">
      <c r="A571" s="6" t="s">
        <v>270</v>
      </c>
      <c r="B571" s="6" t="s">
        <v>271</v>
      </c>
      <c r="C571" s="6" t="s">
        <v>217</v>
      </c>
      <c r="D571" s="7">
        <v>19</v>
      </c>
      <c r="E571" s="13">
        <v>1597.7</v>
      </c>
      <c r="F571" s="13">
        <f t="shared" si="24"/>
        <v>30356.3</v>
      </c>
      <c r="G571">
        <v>3800</v>
      </c>
      <c r="H571" s="188">
        <f t="shared" si="22"/>
        <v>72200</v>
      </c>
    </row>
    <row r="572" spans="1:8" x14ac:dyDescent="0.25">
      <c r="A572" s="6" t="s">
        <v>272</v>
      </c>
      <c r="B572" s="6" t="s">
        <v>273</v>
      </c>
      <c r="C572" s="6" t="s">
        <v>217</v>
      </c>
      <c r="D572" s="7">
        <v>13</v>
      </c>
      <c r="E572" s="13">
        <v>832</v>
      </c>
      <c r="F572" s="13">
        <f t="shared" si="24"/>
        <v>10816</v>
      </c>
      <c r="G572">
        <v>2700</v>
      </c>
      <c r="H572" s="188">
        <f t="shared" si="22"/>
        <v>35100</v>
      </c>
    </row>
    <row r="573" spans="1:8" x14ac:dyDescent="0.25">
      <c r="A573" s="6" t="s">
        <v>274</v>
      </c>
      <c r="B573" s="6" t="s">
        <v>275</v>
      </c>
      <c r="C573" s="6" t="s">
        <v>217</v>
      </c>
      <c r="D573" s="7">
        <v>46</v>
      </c>
      <c r="E573" s="13">
        <v>832</v>
      </c>
      <c r="F573" s="13">
        <f t="shared" si="24"/>
        <v>38272</v>
      </c>
      <c r="G573">
        <v>2700</v>
      </c>
      <c r="H573" s="188">
        <f t="shared" si="22"/>
        <v>124200</v>
      </c>
    </row>
    <row r="574" spans="1:8" x14ac:dyDescent="0.25">
      <c r="A574" s="6" t="s">
        <v>276</v>
      </c>
      <c r="B574" s="6" t="s">
        <v>277</v>
      </c>
      <c r="C574" s="6" t="s">
        <v>217</v>
      </c>
      <c r="D574" s="7">
        <v>6</v>
      </c>
      <c r="E574" s="13">
        <v>832</v>
      </c>
      <c r="F574" s="13">
        <f t="shared" si="24"/>
        <v>4992</v>
      </c>
      <c r="G574">
        <v>2700</v>
      </c>
      <c r="H574" s="188">
        <f t="shared" si="22"/>
        <v>16200</v>
      </c>
    </row>
    <row r="575" spans="1:8" x14ac:dyDescent="0.25">
      <c r="A575" s="6" t="s">
        <v>278</v>
      </c>
      <c r="B575" s="6" t="s">
        <v>279</v>
      </c>
      <c r="C575" s="6" t="s">
        <v>217</v>
      </c>
      <c r="D575" s="7">
        <v>24</v>
      </c>
      <c r="E575" s="13">
        <v>832</v>
      </c>
      <c r="F575" s="13">
        <f t="shared" si="24"/>
        <v>19968</v>
      </c>
      <c r="G575">
        <v>2700</v>
      </c>
      <c r="H575" s="188">
        <f t="shared" si="22"/>
        <v>64800</v>
      </c>
    </row>
    <row r="576" spans="1:8" x14ac:dyDescent="0.25">
      <c r="A576" s="6" t="s">
        <v>280</v>
      </c>
      <c r="B576" s="6" t="s">
        <v>281</v>
      </c>
      <c r="C576" s="6" t="s">
        <v>217</v>
      </c>
      <c r="D576" s="7">
        <v>22</v>
      </c>
      <c r="E576" s="13">
        <v>832</v>
      </c>
      <c r="F576" s="13">
        <f t="shared" si="24"/>
        <v>18304</v>
      </c>
      <c r="G576">
        <v>2700</v>
      </c>
      <c r="H576" s="188">
        <f t="shared" si="22"/>
        <v>59400</v>
      </c>
    </row>
    <row r="577" spans="1:8" x14ac:dyDescent="0.25">
      <c r="A577" s="6" t="s">
        <v>282</v>
      </c>
      <c r="B577" s="6" t="s">
        <v>283</v>
      </c>
      <c r="C577" s="6" t="s">
        <v>217</v>
      </c>
      <c r="D577" s="7">
        <v>28</v>
      </c>
      <c r="E577" s="13">
        <v>832</v>
      </c>
      <c r="F577" s="13">
        <f t="shared" si="24"/>
        <v>23296</v>
      </c>
      <c r="G577">
        <v>2700</v>
      </c>
      <c r="H577" s="188">
        <f t="shared" si="22"/>
        <v>75600</v>
      </c>
    </row>
    <row r="578" spans="1:8" x14ac:dyDescent="0.25">
      <c r="A578" s="6" t="s">
        <v>284</v>
      </c>
      <c r="B578" s="6" t="s">
        <v>285</v>
      </c>
      <c r="C578" s="6" t="s">
        <v>217</v>
      </c>
      <c r="D578" s="7">
        <v>19</v>
      </c>
      <c r="E578" s="13">
        <v>832</v>
      </c>
      <c r="F578" s="13">
        <f t="shared" si="24"/>
        <v>15808</v>
      </c>
      <c r="G578">
        <v>2700</v>
      </c>
      <c r="H578" s="188">
        <f t="shared" si="22"/>
        <v>51300</v>
      </c>
    </row>
    <row r="579" spans="1:8" x14ac:dyDescent="0.25">
      <c r="A579" s="6" t="s">
        <v>286</v>
      </c>
      <c r="B579" s="6" t="s">
        <v>287</v>
      </c>
      <c r="C579" s="6" t="s">
        <v>217</v>
      </c>
      <c r="D579" s="7">
        <v>27</v>
      </c>
      <c r="E579" s="13">
        <v>832</v>
      </c>
      <c r="F579" s="13">
        <f t="shared" si="24"/>
        <v>22464</v>
      </c>
      <c r="G579">
        <v>2700</v>
      </c>
      <c r="H579" s="188">
        <f t="shared" si="22"/>
        <v>72900</v>
      </c>
    </row>
    <row r="580" spans="1:8" x14ac:dyDescent="0.25">
      <c r="A580" s="6" t="s">
        <v>288</v>
      </c>
      <c r="B580" s="6" t="s">
        <v>289</v>
      </c>
      <c r="C580" s="6" t="s">
        <v>217</v>
      </c>
      <c r="D580" s="7">
        <v>9</v>
      </c>
      <c r="E580" s="13">
        <v>1544</v>
      </c>
      <c r="F580" s="13">
        <f t="shared" si="24"/>
        <v>13896</v>
      </c>
      <c r="G580">
        <v>4900</v>
      </c>
      <c r="H580" s="188">
        <f t="shared" si="22"/>
        <v>44100</v>
      </c>
    </row>
    <row r="581" spans="1:8" x14ac:dyDescent="0.25">
      <c r="A581" s="6" t="s">
        <v>290</v>
      </c>
      <c r="B581" s="6" t="s">
        <v>291</v>
      </c>
      <c r="C581" s="6" t="s">
        <v>217</v>
      </c>
      <c r="D581" s="7">
        <v>4</v>
      </c>
      <c r="E581" s="13">
        <v>1544</v>
      </c>
      <c r="F581" s="13">
        <f t="shared" si="24"/>
        <v>6176</v>
      </c>
      <c r="G581">
        <v>4900</v>
      </c>
      <c r="H581" s="188">
        <f t="shared" si="22"/>
        <v>19600</v>
      </c>
    </row>
    <row r="582" spans="1:8" x14ac:dyDescent="0.25">
      <c r="A582" s="6" t="s">
        <v>292</v>
      </c>
      <c r="B582" s="6" t="s">
        <v>293</v>
      </c>
      <c r="C582" s="6" t="s">
        <v>217</v>
      </c>
      <c r="D582" s="7">
        <v>11</v>
      </c>
      <c r="E582" s="13">
        <v>1544</v>
      </c>
      <c r="F582" s="13">
        <f t="shared" si="24"/>
        <v>16984</v>
      </c>
      <c r="G582">
        <v>4900</v>
      </c>
      <c r="H582" s="188">
        <f t="shared" si="22"/>
        <v>53900</v>
      </c>
    </row>
    <row r="583" spans="1:8" x14ac:dyDescent="0.25">
      <c r="A583" s="6" t="s">
        <v>294</v>
      </c>
      <c r="B583" s="6" t="s">
        <v>295</v>
      </c>
      <c r="C583" s="6" t="s">
        <v>217</v>
      </c>
      <c r="D583" s="7">
        <v>7</v>
      </c>
      <c r="E583" s="13">
        <v>1544</v>
      </c>
      <c r="F583" s="13">
        <f t="shared" si="24"/>
        <v>10808</v>
      </c>
      <c r="G583">
        <v>4900</v>
      </c>
      <c r="H583" s="188">
        <f t="shared" si="22"/>
        <v>34300</v>
      </c>
    </row>
    <row r="584" spans="1:8" x14ac:dyDescent="0.25">
      <c r="A584" s="6" t="s">
        <v>296</v>
      </c>
      <c r="B584" s="6" t="s">
        <v>297</v>
      </c>
      <c r="C584" s="6" t="s">
        <v>217</v>
      </c>
      <c r="D584" s="7">
        <v>8</v>
      </c>
      <c r="E584" s="13">
        <v>1544</v>
      </c>
      <c r="F584" s="13">
        <f t="shared" si="24"/>
        <v>12352</v>
      </c>
      <c r="G584">
        <v>4900</v>
      </c>
      <c r="H584" s="188">
        <f t="shared" si="22"/>
        <v>39200</v>
      </c>
    </row>
    <row r="585" spans="1:8" x14ac:dyDescent="0.25">
      <c r="A585" s="6" t="s">
        <v>298</v>
      </c>
      <c r="B585" s="6" t="s">
        <v>299</v>
      </c>
      <c r="C585" s="6" t="s">
        <v>217</v>
      </c>
      <c r="D585" s="7">
        <v>10</v>
      </c>
      <c r="E585" s="13">
        <v>1544</v>
      </c>
      <c r="F585" s="13">
        <f t="shared" si="24"/>
        <v>15440</v>
      </c>
      <c r="G585">
        <v>4900</v>
      </c>
      <c r="H585" s="188">
        <f t="shared" si="22"/>
        <v>49000</v>
      </c>
    </row>
    <row r="586" spans="1:8" x14ac:dyDescent="0.25">
      <c r="A586" s="6" t="s">
        <v>300</v>
      </c>
      <c r="B586" s="6" t="s">
        <v>301</v>
      </c>
      <c r="C586" s="6" t="s">
        <v>217</v>
      </c>
      <c r="D586" s="7">
        <v>11</v>
      </c>
      <c r="E586" s="13">
        <v>1544</v>
      </c>
      <c r="F586" s="13">
        <f t="shared" si="24"/>
        <v>16984</v>
      </c>
      <c r="G586">
        <v>4900</v>
      </c>
      <c r="H586" s="188">
        <f t="shared" ref="H586:H649" si="25">G586*D586</f>
        <v>53900</v>
      </c>
    </row>
    <row r="587" spans="1:8" x14ac:dyDescent="0.25">
      <c r="A587" s="6" t="s">
        <v>362</v>
      </c>
      <c r="B587" s="6" t="s">
        <v>363</v>
      </c>
      <c r="C587" s="6" t="s">
        <v>217</v>
      </c>
      <c r="D587" s="7">
        <v>31</v>
      </c>
      <c r="E587" s="13">
        <v>1597.7</v>
      </c>
      <c r="F587" s="13">
        <f t="shared" si="24"/>
        <v>49528.700000000004</v>
      </c>
      <c r="G587">
        <v>3800</v>
      </c>
      <c r="H587" s="188">
        <f t="shared" si="25"/>
        <v>117800</v>
      </c>
    </row>
    <row r="588" spans="1:8" x14ac:dyDescent="0.25">
      <c r="A588" s="6" t="s">
        <v>380</v>
      </c>
      <c r="B588" s="6" t="s">
        <v>381</v>
      </c>
      <c r="C588" s="6" t="s">
        <v>217</v>
      </c>
      <c r="D588" s="7">
        <v>15</v>
      </c>
      <c r="E588" s="13">
        <v>731</v>
      </c>
      <c r="F588" s="13">
        <f t="shared" si="24"/>
        <v>10965</v>
      </c>
      <c r="G588">
        <v>2000</v>
      </c>
      <c r="H588" s="188">
        <f t="shared" si="25"/>
        <v>30000</v>
      </c>
    </row>
    <row r="589" spans="1:8" x14ac:dyDescent="0.25">
      <c r="A589" s="6" t="s">
        <v>302</v>
      </c>
      <c r="B589" s="6" t="s">
        <v>303</v>
      </c>
      <c r="C589" s="6" t="s">
        <v>217</v>
      </c>
      <c r="D589" s="7">
        <v>12</v>
      </c>
      <c r="E589" s="13">
        <v>2977</v>
      </c>
      <c r="F589" s="13">
        <f t="shared" si="24"/>
        <v>35724</v>
      </c>
      <c r="G589">
        <v>5800</v>
      </c>
      <c r="H589" s="188">
        <f t="shared" si="25"/>
        <v>69600</v>
      </c>
    </row>
    <row r="590" spans="1:8" x14ac:dyDescent="0.25">
      <c r="A590" s="6" t="s">
        <v>304</v>
      </c>
      <c r="B590" s="6" t="s">
        <v>305</v>
      </c>
      <c r="C590" s="6" t="s">
        <v>217</v>
      </c>
      <c r="D590" s="7">
        <v>3</v>
      </c>
      <c r="E590" s="13">
        <v>2977</v>
      </c>
      <c r="F590" s="13">
        <f t="shared" si="24"/>
        <v>8931</v>
      </c>
      <c r="G590">
        <v>5800</v>
      </c>
      <c r="H590" s="188">
        <f t="shared" si="25"/>
        <v>17400</v>
      </c>
    </row>
    <row r="591" spans="1:8" x14ac:dyDescent="0.25">
      <c r="A591" s="6" t="s">
        <v>306</v>
      </c>
      <c r="B591" s="6" t="s">
        <v>307</v>
      </c>
      <c r="C591" s="6" t="s">
        <v>217</v>
      </c>
      <c r="D591" s="7">
        <v>1</v>
      </c>
      <c r="E591" s="13">
        <v>2977</v>
      </c>
      <c r="F591" s="13">
        <f t="shared" si="24"/>
        <v>2977</v>
      </c>
      <c r="G591">
        <v>5800</v>
      </c>
      <c r="H591" s="188">
        <f t="shared" si="25"/>
        <v>5800</v>
      </c>
    </row>
    <row r="592" spans="1:8" x14ac:dyDescent="0.25">
      <c r="A592" s="6" t="s">
        <v>308</v>
      </c>
      <c r="B592" s="6" t="s">
        <v>309</v>
      </c>
      <c r="C592" s="6" t="s">
        <v>217</v>
      </c>
      <c r="D592" s="7">
        <v>6</v>
      </c>
      <c r="E592" s="13">
        <v>2977</v>
      </c>
      <c r="F592" s="13">
        <f t="shared" si="24"/>
        <v>17862</v>
      </c>
      <c r="G592">
        <v>5800</v>
      </c>
      <c r="H592" s="188">
        <f t="shared" si="25"/>
        <v>34800</v>
      </c>
    </row>
    <row r="593" spans="1:8" x14ac:dyDescent="0.25">
      <c r="A593" s="6" t="s">
        <v>310</v>
      </c>
      <c r="B593" s="6" t="s">
        <v>311</v>
      </c>
      <c r="C593" s="6" t="s">
        <v>217</v>
      </c>
      <c r="D593" s="7">
        <v>7</v>
      </c>
      <c r="E593" s="13">
        <v>2977</v>
      </c>
      <c r="F593" s="13">
        <f t="shared" si="24"/>
        <v>20839</v>
      </c>
      <c r="G593">
        <v>5800</v>
      </c>
      <c r="H593" s="188">
        <f t="shared" si="25"/>
        <v>40600</v>
      </c>
    </row>
    <row r="594" spans="1:8" x14ac:dyDescent="0.25">
      <c r="A594" s="6" t="s">
        <v>312</v>
      </c>
      <c r="B594" s="6" t="s">
        <v>313</v>
      </c>
      <c r="C594" s="6" t="s">
        <v>217</v>
      </c>
      <c r="D594" s="7">
        <v>3</v>
      </c>
      <c r="E594" s="13">
        <v>2977</v>
      </c>
      <c r="F594" s="13">
        <f t="shared" si="24"/>
        <v>8931</v>
      </c>
      <c r="G594">
        <v>5800</v>
      </c>
      <c r="H594" s="188">
        <f t="shared" si="25"/>
        <v>17400</v>
      </c>
    </row>
    <row r="595" spans="1:8" x14ac:dyDescent="0.25">
      <c r="A595" s="6" t="s">
        <v>314</v>
      </c>
      <c r="B595" s="6" t="s">
        <v>315</v>
      </c>
      <c r="C595" s="6" t="s">
        <v>217</v>
      </c>
      <c r="D595" s="7">
        <v>4</v>
      </c>
      <c r="E595" s="13">
        <v>2977</v>
      </c>
      <c r="F595" s="13">
        <f t="shared" si="24"/>
        <v>11908</v>
      </c>
      <c r="G595">
        <v>5800</v>
      </c>
      <c r="H595" s="188">
        <f t="shared" si="25"/>
        <v>23200</v>
      </c>
    </row>
    <row r="596" spans="1:8" x14ac:dyDescent="0.25">
      <c r="A596" s="6" t="s">
        <v>316</v>
      </c>
      <c r="B596" s="6" t="s">
        <v>317</v>
      </c>
      <c r="C596" s="6" t="s">
        <v>217</v>
      </c>
      <c r="D596" s="7">
        <v>9</v>
      </c>
      <c r="E596" s="13">
        <v>2977</v>
      </c>
      <c r="F596" s="13">
        <f t="shared" si="24"/>
        <v>26793</v>
      </c>
      <c r="G596">
        <v>5800</v>
      </c>
      <c r="H596" s="188">
        <f t="shared" si="25"/>
        <v>52200</v>
      </c>
    </row>
    <row r="597" spans="1:8" x14ac:dyDescent="0.25">
      <c r="A597" s="6" t="s">
        <v>318</v>
      </c>
      <c r="B597" s="6" t="s">
        <v>319</v>
      </c>
      <c r="C597" s="6" t="s">
        <v>217</v>
      </c>
      <c r="D597" s="7">
        <v>7</v>
      </c>
      <c r="E597" s="13">
        <v>2977</v>
      </c>
      <c r="F597" s="13">
        <f t="shared" si="24"/>
        <v>20839</v>
      </c>
      <c r="G597">
        <v>5800</v>
      </c>
      <c r="H597" s="188">
        <f t="shared" si="25"/>
        <v>40600</v>
      </c>
    </row>
    <row r="598" spans="1:8" x14ac:dyDescent="0.25">
      <c r="A598" s="6" t="s">
        <v>320</v>
      </c>
      <c r="B598" s="6" t="s">
        <v>321</v>
      </c>
      <c r="C598" s="6" t="s">
        <v>217</v>
      </c>
      <c r="D598" s="7">
        <v>10</v>
      </c>
      <c r="E598" s="13">
        <v>2977</v>
      </c>
      <c r="F598" s="13">
        <f t="shared" si="24"/>
        <v>29770</v>
      </c>
      <c r="G598">
        <v>5800</v>
      </c>
      <c r="H598" s="188">
        <f t="shared" si="25"/>
        <v>58000</v>
      </c>
    </row>
    <row r="599" spans="1:8" x14ac:dyDescent="0.25">
      <c r="A599" s="6" t="s">
        <v>322</v>
      </c>
      <c r="B599" s="6" t="s">
        <v>323</v>
      </c>
      <c r="C599" s="6" t="s">
        <v>217</v>
      </c>
      <c r="D599" s="7">
        <v>8</v>
      </c>
      <c r="E599" s="13">
        <v>2977</v>
      </c>
      <c r="F599" s="13">
        <f t="shared" si="24"/>
        <v>23816</v>
      </c>
      <c r="G599">
        <v>5800</v>
      </c>
      <c r="H599" s="188">
        <f t="shared" si="25"/>
        <v>46400</v>
      </c>
    </row>
    <row r="600" spans="1:8" x14ac:dyDescent="0.25">
      <c r="A600" s="6" t="s">
        <v>324</v>
      </c>
      <c r="B600" s="6" t="s">
        <v>325</v>
      </c>
      <c r="C600" s="6" t="s">
        <v>217</v>
      </c>
      <c r="D600" s="7">
        <v>4</v>
      </c>
      <c r="E600" s="13">
        <v>2977</v>
      </c>
      <c r="F600" s="13">
        <f t="shared" si="24"/>
        <v>11908</v>
      </c>
      <c r="G600">
        <v>5800</v>
      </c>
      <c r="H600" s="188">
        <f t="shared" si="25"/>
        <v>23200</v>
      </c>
    </row>
    <row r="601" spans="1:8" x14ac:dyDescent="0.25">
      <c r="A601" s="6" t="s">
        <v>326</v>
      </c>
      <c r="B601" s="6" t="s">
        <v>327</v>
      </c>
      <c r="C601" s="6" t="s">
        <v>217</v>
      </c>
      <c r="D601" s="7">
        <v>1</v>
      </c>
      <c r="E601" s="13">
        <v>2977</v>
      </c>
      <c r="F601" s="13">
        <f t="shared" si="24"/>
        <v>2977</v>
      </c>
      <c r="G601">
        <v>5800</v>
      </c>
      <c r="H601" s="188">
        <f t="shared" si="25"/>
        <v>5800</v>
      </c>
    </row>
    <row r="602" spans="1:8" x14ac:dyDescent="0.25">
      <c r="A602" s="6" t="s">
        <v>328</v>
      </c>
      <c r="B602" s="6" t="s">
        <v>329</v>
      </c>
      <c r="C602" s="6" t="s">
        <v>217</v>
      </c>
      <c r="D602" s="7">
        <v>11</v>
      </c>
      <c r="E602" s="13">
        <v>2977</v>
      </c>
      <c r="F602" s="13">
        <f t="shared" si="24"/>
        <v>32747</v>
      </c>
      <c r="G602">
        <v>5800</v>
      </c>
      <c r="H602" s="188">
        <f t="shared" si="25"/>
        <v>63800</v>
      </c>
    </row>
    <row r="603" spans="1:8" x14ac:dyDescent="0.25">
      <c r="A603" s="6" t="s">
        <v>364</v>
      </c>
      <c r="B603" s="6" t="s">
        <v>365</v>
      </c>
      <c r="C603" s="6" t="s">
        <v>217</v>
      </c>
      <c r="D603" s="7">
        <v>3</v>
      </c>
      <c r="E603" s="13">
        <v>2977</v>
      </c>
      <c r="F603" s="13">
        <f t="shared" si="24"/>
        <v>8931</v>
      </c>
      <c r="G603">
        <v>6700</v>
      </c>
      <c r="H603" s="188">
        <f t="shared" si="25"/>
        <v>20100</v>
      </c>
    </row>
    <row r="604" spans="1:8" x14ac:dyDescent="0.25">
      <c r="A604" s="6" t="s">
        <v>366</v>
      </c>
      <c r="B604" s="6" t="s">
        <v>367</v>
      </c>
      <c r="C604" s="6" t="s">
        <v>217</v>
      </c>
      <c r="D604" s="7">
        <v>7</v>
      </c>
      <c r="E604" s="13">
        <v>2977</v>
      </c>
      <c r="F604" s="13">
        <f t="shared" si="24"/>
        <v>20839</v>
      </c>
      <c r="G604">
        <v>6700</v>
      </c>
      <c r="H604" s="188">
        <f t="shared" si="25"/>
        <v>46900</v>
      </c>
    </row>
    <row r="605" spans="1:8" x14ac:dyDescent="0.25">
      <c r="A605" s="6" t="s">
        <v>368</v>
      </c>
      <c r="B605" s="6" t="s">
        <v>369</v>
      </c>
      <c r="C605" s="6" t="s">
        <v>217</v>
      </c>
      <c r="D605" s="7">
        <v>4</v>
      </c>
      <c r="E605" s="13">
        <v>1597.7</v>
      </c>
      <c r="F605" s="13">
        <f t="shared" si="24"/>
        <v>6390.8</v>
      </c>
      <c r="G605">
        <v>4100</v>
      </c>
      <c r="H605" s="188">
        <f t="shared" si="25"/>
        <v>16400</v>
      </c>
    </row>
    <row r="606" spans="1:8" x14ac:dyDescent="0.25">
      <c r="A606" s="6" t="s">
        <v>370</v>
      </c>
      <c r="B606" s="6" t="s">
        <v>371</v>
      </c>
      <c r="C606" s="6" t="s">
        <v>217</v>
      </c>
      <c r="D606" s="7">
        <v>11</v>
      </c>
      <c r="E606" s="13">
        <v>731</v>
      </c>
      <c r="F606" s="13">
        <f t="shared" si="24"/>
        <v>8041</v>
      </c>
      <c r="G606">
        <v>2200</v>
      </c>
      <c r="H606" s="188">
        <f t="shared" si="25"/>
        <v>24200</v>
      </c>
    </row>
    <row r="607" spans="1:8" x14ac:dyDescent="0.25">
      <c r="A607" s="6" t="s">
        <v>358</v>
      </c>
      <c r="B607" s="6" t="s">
        <v>359</v>
      </c>
      <c r="C607" s="6" t="s">
        <v>217</v>
      </c>
      <c r="D607" s="7">
        <v>1</v>
      </c>
      <c r="E607" s="13">
        <v>1277</v>
      </c>
      <c r="F607" s="13">
        <f t="shared" si="24"/>
        <v>1277</v>
      </c>
      <c r="G607">
        <v>3200</v>
      </c>
      <c r="H607" s="188">
        <f t="shared" si="25"/>
        <v>3200</v>
      </c>
    </row>
    <row r="608" spans="1:8" x14ac:dyDescent="0.25">
      <c r="A608" s="6" t="s">
        <v>382</v>
      </c>
      <c r="B608" s="6" t="s">
        <v>383</v>
      </c>
      <c r="C608" s="6" t="s">
        <v>217</v>
      </c>
      <c r="D608" s="7">
        <v>2</v>
      </c>
      <c r="E608" s="13">
        <v>832</v>
      </c>
      <c r="F608" s="13">
        <f t="shared" si="24"/>
        <v>1664</v>
      </c>
      <c r="G608">
        <v>2700</v>
      </c>
      <c r="H608" s="188">
        <f t="shared" si="25"/>
        <v>5400</v>
      </c>
    </row>
    <row r="609" spans="1:8" x14ac:dyDescent="0.25">
      <c r="A609" s="6" t="s">
        <v>372</v>
      </c>
      <c r="B609" s="6" t="s">
        <v>373</v>
      </c>
      <c r="C609" s="6" t="s">
        <v>217</v>
      </c>
      <c r="D609" s="7">
        <v>52</v>
      </c>
      <c r="E609" s="13">
        <v>731</v>
      </c>
      <c r="F609" s="13">
        <f t="shared" si="24"/>
        <v>38012</v>
      </c>
      <c r="G609">
        <v>2000</v>
      </c>
      <c r="H609" s="188">
        <f t="shared" si="25"/>
        <v>104000</v>
      </c>
    </row>
    <row r="610" spans="1:8" x14ac:dyDescent="0.25">
      <c r="A610" s="6" t="s">
        <v>388</v>
      </c>
      <c r="B610" s="6" t="s">
        <v>389</v>
      </c>
      <c r="C610" s="6" t="s">
        <v>217</v>
      </c>
      <c r="D610" s="7">
        <v>5</v>
      </c>
      <c r="E610" s="13">
        <v>2977</v>
      </c>
      <c r="F610" s="13">
        <f t="shared" ref="F610:F620" si="26">D610*E610</f>
        <v>14885</v>
      </c>
      <c r="G610">
        <v>5800</v>
      </c>
      <c r="H610" s="188">
        <f t="shared" si="25"/>
        <v>29000</v>
      </c>
    </row>
    <row r="611" spans="1:8" x14ac:dyDescent="0.25">
      <c r="A611" s="6" t="s">
        <v>390</v>
      </c>
      <c r="B611" s="6" t="s">
        <v>391</v>
      </c>
      <c r="C611" s="6" t="s">
        <v>217</v>
      </c>
      <c r="D611" s="7">
        <v>2</v>
      </c>
      <c r="E611" s="13">
        <v>1544</v>
      </c>
      <c r="F611" s="13">
        <f t="shared" si="26"/>
        <v>3088</v>
      </c>
      <c r="G611">
        <v>4900</v>
      </c>
      <c r="H611" s="188">
        <f t="shared" si="25"/>
        <v>9800</v>
      </c>
    </row>
    <row r="612" spans="1:8" x14ac:dyDescent="0.25">
      <c r="A612" s="6" t="s">
        <v>384</v>
      </c>
      <c r="B612" s="6" t="s">
        <v>385</v>
      </c>
      <c r="C612" s="6" t="s">
        <v>217</v>
      </c>
      <c r="D612" s="7">
        <v>1</v>
      </c>
      <c r="E612" s="13">
        <v>1277</v>
      </c>
      <c r="F612" s="13">
        <f t="shared" si="26"/>
        <v>1277</v>
      </c>
      <c r="G612">
        <v>3200</v>
      </c>
      <c r="H612" s="188">
        <f t="shared" si="25"/>
        <v>3200</v>
      </c>
    </row>
    <row r="613" spans="1:8" x14ac:dyDescent="0.25">
      <c r="A613" s="6" t="s">
        <v>336</v>
      </c>
      <c r="B613" s="6" t="s">
        <v>337</v>
      </c>
      <c r="C613" s="6" t="s">
        <v>217</v>
      </c>
      <c r="D613" s="7">
        <v>2</v>
      </c>
      <c r="E613" s="13">
        <v>1277</v>
      </c>
      <c r="F613" s="13">
        <f t="shared" si="26"/>
        <v>2554</v>
      </c>
      <c r="G613">
        <v>3200</v>
      </c>
      <c r="H613" s="188">
        <f t="shared" si="25"/>
        <v>6400</v>
      </c>
    </row>
    <row r="614" spans="1:8" x14ac:dyDescent="0.25">
      <c r="A614" s="6" t="s">
        <v>338</v>
      </c>
      <c r="B614" s="6" t="s">
        <v>339</v>
      </c>
      <c r="C614" s="6" t="s">
        <v>217</v>
      </c>
      <c r="D614" s="7">
        <v>18</v>
      </c>
      <c r="E614" s="13">
        <v>731</v>
      </c>
      <c r="F614" s="13">
        <f t="shared" si="26"/>
        <v>13158</v>
      </c>
      <c r="G614">
        <v>2000</v>
      </c>
      <c r="H614" s="188">
        <f t="shared" si="25"/>
        <v>36000</v>
      </c>
    </row>
    <row r="615" spans="1:8" x14ac:dyDescent="0.25">
      <c r="A615" s="6" t="s">
        <v>340</v>
      </c>
      <c r="B615" s="6" t="s">
        <v>341</v>
      </c>
      <c r="C615" s="6" t="s">
        <v>217</v>
      </c>
      <c r="D615" s="7">
        <v>13</v>
      </c>
      <c r="E615" s="13">
        <v>1597.7</v>
      </c>
      <c r="F615" s="13">
        <f t="shared" si="26"/>
        <v>20770.100000000002</v>
      </c>
      <c r="G615">
        <v>3800</v>
      </c>
      <c r="H615" s="188">
        <f t="shared" si="25"/>
        <v>49400</v>
      </c>
    </row>
    <row r="616" spans="1:8" x14ac:dyDescent="0.25">
      <c r="A616" s="6" t="s">
        <v>342</v>
      </c>
      <c r="B616" s="6" t="s">
        <v>343</v>
      </c>
      <c r="C616" s="6" t="s">
        <v>217</v>
      </c>
      <c r="D616" s="7">
        <v>8</v>
      </c>
      <c r="E616" s="13">
        <v>2977</v>
      </c>
      <c r="F616" s="13">
        <f t="shared" si="26"/>
        <v>23816</v>
      </c>
      <c r="G616">
        <v>5800</v>
      </c>
      <c r="H616" s="188">
        <f t="shared" si="25"/>
        <v>46400</v>
      </c>
    </row>
    <row r="617" spans="1:8" x14ac:dyDescent="0.25">
      <c r="A617" s="6" t="s">
        <v>344</v>
      </c>
      <c r="B617" s="6" t="s">
        <v>345</v>
      </c>
      <c r="C617" s="6" t="s">
        <v>217</v>
      </c>
      <c r="D617" s="7">
        <v>21</v>
      </c>
      <c r="E617" s="13">
        <v>832</v>
      </c>
      <c r="F617" s="13">
        <f t="shared" si="26"/>
        <v>17472</v>
      </c>
      <c r="G617">
        <v>2700</v>
      </c>
      <c r="H617" s="188">
        <f t="shared" si="25"/>
        <v>56700</v>
      </c>
    </row>
    <row r="618" spans="1:8" x14ac:dyDescent="0.25">
      <c r="A618" s="6" t="s">
        <v>346</v>
      </c>
      <c r="B618" s="6" t="s">
        <v>347</v>
      </c>
      <c r="C618" s="6" t="s">
        <v>217</v>
      </c>
      <c r="D618" s="7">
        <v>13</v>
      </c>
      <c r="E618" s="13">
        <v>1544</v>
      </c>
      <c r="F618" s="13">
        <f t="shared" si="26"/>
        <v>20072</v>
      </c>
      <c r="G618">
        <v>4900</v>
      </c>
      <c r="H618" s="188">
        <f t="shared" si="25"/>
        <v>63700</v>
      </c>
    </row>
    <row r="619" spans="1:8" x14ac:dyDescent="0.25">
      <c r="A619" s="6" t="s">
        <v>374</v>
      </c>
      <c r="B619" s="6" t="s">
        <v>375</v>
      </c>
      <c r="C619" s="6" t="s">
        <v>217</v>
      </c>
      <c r="D619" s="7">
        <v>3</v>
      </c>
      <c r="E619" s="13">
        <v>731</v>
      </c>
      <c r="F619" s="13">
        <f t="shared" si="26"/>
        <v>2193</v>
      </c>
      <c r="G619">
        <v>2200</v>
      </c>
      <c r="H619" s="188">
        <f t="shared" si="25"/>
        <v>6600</v>
      </c>
    </row>
    <row r="620" spans="1:8" x14ac:dyDescent="0.25">
      <c r="A620" s="6" t="s">
        <v>376</v>
      </c>
      <c r="B620" s="6" t="s">
        <v>377</v>
      </c>
      <c r="C620" s="6" t="s">
        <v>217</v>
      </c>
      <c r="D620" s="7">
        <v>3</v>
      </c>
      <c r="E620" s="13">
        <v>1597.7</v>
      </c>
      <c r="F620" s="13">
        <f t="shared" si="26"/>
        <v>4793.1000000000004</v>
      </c>
      <c r="G620">
        <v>4100</v>
      </c>
      <c r="H620" s="188">
        <f t="shared" si="25"/>
        <v>12300</v>
      </c>
    </row>
    <row r="621" spans="1:8" x14ac:dyDescent="0.25">
      <c r="A621" s="89">
        <v>45717</v>
      </c>
      <c r="B621" s="93"/>
      <c r="C621" s="93"/>
      <c r="D621" s="93"/>
      <c r="E621" s="94"/>
      <c r="F621" s="94"/>
      <c r="H621" s="188">
        <f t="shared" si="25"/>
        <v>0</v>
      </c>
    </row>
    <row r="622" spans="1:8" x14ac:dyDescent="0.25">
      <c r="A622" s="6" t="s">
        <v>215</v>
      </c>
      <c r="B622" s="6" t="s">
        <v>216</v>
      </c>
      <c r="C622" s="6" t="s">
        <v>217</v>
      </c>
      <c r="D622" s="7">
        <v>15</v>
      </c>
      <c r="E622" s="13">
        <v>731</v>
      </c>
      <c r="F622" s="13">
        <f>E622*D622</f>
        <v>10965</v>
      </c>
      <c r="G622">
        <v>2000</v>
      </c>
      <c r="H622" s="188">
        <f t="shared" si="25"/>
        <v>30000</v>
      </c>
    </row>
    <row r="623" spans="1:8" x14ac:dyDescent="0.25">
      <c r="A623" s="6" t="s">
        <v>218</v>
      </c>
      <c r="B623" s="6" t="s">
        <v>219</v>
      </c>
      <c r="C623" s="6" t="s">
        <v>217</v>
      </c>
      <c r="D623" s="7">
        <v>8</v>
      </c>
      <c r="E623" s="13">
        <v>731</v>
      </c>
      <c r="F623" s="13">
        <f t="shared" ref="F623:F686" si="27">E623*D623</f>
        <v>5848</v>
      </c>
      <c r="G623">
        <v>2000</v>
      </c>
      <c r="H623" s="188">
        <f t="shared" si="25"/>
        <v>16000</v>
      </c>
    </row>
    <row r="624" spans="1:8" x14ac:dyDescent="0.25">
      <c r="A624" s="6" t="s">
        <v>220</v>
      </c>
      <c r="B624" s="6" t="s">
        <v>221</v>
      </c>
      <c r="C624" s="6" t="s">
        <v>217</v>
      </c>
      <c r="D624" s="7">
        <v>20</v>
      </c>
      <c r="E624" s="13">
        <v>731</v>
      </c>
      <c r="F624" s="13">
        <f t="shared" si="27"/>
        <v>14620</v>
      </c>
      <c r="G624">
        <v>2000</v>
      </c>
      <c r="H624" s="188">
        <f t="shared" si="25"/>
        <v>40000</v>
      </c>
    </row>
    <row r="625" spans="1:8" x14ac:dyDescent="0.25">
      <c r="A625" s="6" t="s">
        <v>222</v>
      </c>
      <c r="B625" s="6" t="s">
        <v>223</v>
      </c>
      <c r="C625" s="6" t="s">
        <v>217</v>
      </c>
      <c r="D625" s="7">
        <v>11</v>
      </c>
      <c r="E625" s="13">
        <v>731</v>
      </c>
      <c r="F625" s="13">
        <f t="shared" si="27"/>
        <v>8041</v>
      </c>
      <c r="G625">
        <v>2000</v>
      </c>
      <c r="H625" s="188">
        <f t="shared" si="25"/>
        <v>22000</v>
      </c>
    </row>
    <row r="626" spans="1:8" x14ac:dyDescent="0.25">
      <c r="A626" s="6" t="s">
        <v>224</v>
      </c>
      <c r="B626" s="6" t="s">
        <v>225</v>
      </c>
      <c r="C626" s="6" t="s">
        <v>217</v>
      </c>
      <c r="D626" s="7">
        <v>10</v>
      </c>
      <c r="E626" s="13">
        <v>731</v>
      </c>
      <c r="F626" s="13">
        <f t="shared" si="27"/>
        <v>7310</v>
      </c>
      <c r="G626">
        <v>2000</v>
      </c>
      <c r="H626" s="188">
        <f t="shared" si="25"/>
        <v>20000</v>
      </c>
    </row>
    <row r="627" spans="1:8" x14ac:dyDescent="0.25">
      <c r="A627" s="6" t="s">
        <v>226</v>
      </c>
      <c r="B627" s="6" t="s">
        <v>227</v>
      </c>
      <c r="C627" s="6" t="s">
        <v>217</v>
      </c>
      <c r="D627" s="7">
        <v>4</v>
      </c>
      <c r="E627" s="13">
        <v>731</v>
      </c>
      <c r="F627" s="13">
        <f t="shared" si="27"/>
        <v>2924</v>
      </c>
      <c r="G627">
        <v>2000</v>
      </c>
      <c r="H627" s="188">
        <f t="shared" si="25"/>
        <v>8000</v>
      </c>
    </row>
    <row r="628" spans="1:8" x14ac:dyDescent="0.25">
      <c r="A628" s="6" t="s">
        <v>228</v>
      </c>
      <c r="B628" s="6" t="s">
        <v>229</v>
      </c>
      <c r="C628" s="6" t="s">
        <v>217</v>
      </c>
      <c r="D628" s="7">
        <v>17</v>
      </c>
      <c r="E628" s="13">
        <v>731</v>
      </c>
      <c r="F628" s="13">
        <f t="shared" si="27"/>
        <v>12427</v>
      </c>
      <c r="G628">
        <v>2000</v>
      </c>
      <c r="H628" s="188">
        <f t="shared" si="25"/>
        <v>34000</v>
      </c>
    </row>
    <row r="629" spans="1:8" x14ac:dyDescent="0.25">
      <c r="A629" s="6" t="s">
        <v>230</v>
      </c>
      <c r="B629" s="6" t="s">
        <v>231</v>
      </c>
      <c r="C629" s="6" t="s">
        <v>217</v>
      </c>
      <c r="D629" s="7">
        <v>24</v>
      </c>
      <c r="E629" s="13">
        <v>731</v>
      </c>
      <c r="F629" s="13">
        <f t="shared" si="27"/>
        <v>17544</v>
      </c>
      <c r="G629">
        <v>2000</v>
      </c>
      <c r="H629" s="188">
        <f t="shared" si="25"/>
        <v>48000</v>
      </c>
    </row>
    <row r="630" spans="1:8" x14ac:dyDescent="0.25">
      <c r="A630" s="6" t="s">
        <v>232</v>
      </c>
      <c r="B630" s="6" t="s">
        <v>233</v>
      </c>
      <c r="C630" s="6" t="s">
        <v>217</v>
      </c>
      <c r="D630" s="7">
        <v>15</v>
      </c>
      <c r="E630" s="13">
        <v>731</v>
      </c>
      <c r="F630" s="13">
        <f t="shared" si="27"/>
        <v>10965</v>
      </c>
      <c r="G630">
        <v>2000</v>
      </c>
      <c r="H630" s="188">
        <f t="shared" si="25"/>
        <v>30000</v>
      </c>
    </row>
    <row r="631" spans="1:8" x14ac:dyDescent="0.25">
      <c r="A631" s="6" t="s">
        <v>234</v>
      </c>
      <c r="B631" s="6" t="s">
        <v>235</v>
      </c>
      <c r="C631" s="6" t="s">
        <v>217</v>
      </c>
      <c r="D631" s="7">
        <v>25</v>
      </c>
      <c r="E631" s="13">
        <v>731</v>
      </c>
      <c r="F631" s="13">
        <f t="shared" si="27"/>
        <v>18275</v>
      </c>
      <c r="G631">
        <v>2000</v>
      </c>
      <c r="H631" s="188">
        <f t="shared" si="25"/>
        <v>50000</v>
      </c>
    </row>
    <row r="632" spans="1:8" x14ac:dyDescent="0.25">
      <c r="A632" s="6" t="s">
        <v>236</v>
      </c>
      <c r="B632" s="6" t="s">
        <v>237</v>
      </c>
      <c r="C632" s="6" t="s">
        <v>217</v>
      </c>
      <c r="D632" s="7">
        <v>20</v>
      </c>
      <c r="E632" s="13">
        <v>731</v>
      </c>
      <c r="F632" s="13">
        <f t="shared" si="27"/>
        <v>14620</v>
      </c>
      <c r="G632">
        <v>2000</v>
      </c>
      <c r="H632" s="188">
        <f t="shared" si="25"/>
        <v>40000</v>
      </c>
    </row>
    <row r="633" spans="1:8" x14ac:dyDescent="0.25">
      <c r="A633" s="6" t="s">
        <v>238</v>
      </c>
      <c r="B633" s="6" t="s">
        <v>239</v>
      </c>
      <c r="C633" s="6" t="s">
        <v>217</v>
      </c>
      <c r="D633" s="7">
        <v>14</v>
      </c>
      <c r="E633" s="13">
        <v>731</v>
      </c>
      <c r="F633" s="13">
        <f t="shared" si="27"/>
        <v>10234</v>
      </c>
      <c r="G633">
        <v>2000</v>
      </c>
      <c r="H633" s="188">
        <f t="shared" si="25"/>
        <v>28000</v>
      </c>
    </row>
    <row r="634" spans="1:8" x14ac:dyDescent="0.25">
      <c r="A634" s="6" t="s">
        <v>240</v>
      </c>
      <c r="B634" s="6" t="s">
        <v>241</v>
      </c>
      <c r="C634" s="6" t="s">
        <v>217</v>
      </c>
      <c r="D634" s="7">
        <v>19</v>
      </c>
      <c r="E634" s="13">
        <v>731</v>
      </c>
      <c r="F634" s="13">
        <f t="shared" si="27"/>
        <v>13889</v>
      </c>
      <c r="G634">
        <v>2000</v>
      </c>
      <c r="H634" s="188">
        <f t="shared" si="25"/>
        <v>38000</v>
      </c>
    </row>
    <row r="635" spans="1:8" x14ac:dyDescent="0.25">
      <c r="A635" s="6" t="s">
        <v>242</v>
      </c>
      <c r="B635" s="6" t="s">
        <v>243</v>
      </c>
      <c r="C635" s="6" t="s">
        <v>217</v>
      </c>
      <c r="D635" s="7">
        <v>18</v>
      </c>
      <c r="E635" s="13">
        <v>731</v>
      </c>
      <c r="F635" s="13">
        <f t="shared" si="27"/>
        <v>13158</v>
      </c>
      <c r="G635">
        <v>2000</v>
      </c>
      <c r="H635" s="188">
        <f t="shared" si="25"/>
        <v>36000</v>
      </c>
    </row>
    <row r="636" spans="1:8" x14ac:dyDescent="0.25">
      <c r="A636" s="6" t="s">
        <v>244</v>
      </c>
      <c r="B636" s="6" t="s">
        <v>245</v>
      </c>
      <c r="C636" s="6" t="s">
        <v>217</v>
      </c>
      <c r="D636" s="7">
        <v>11</v>
      </c>
      <c r="E636" s="13">
        <v>1597.7</v>
      </c>
      <c r="F636" s="13">
        <f t="shared" si="27"/>
        <v>17574.7</v>
      </c>
      <c r="G636">
        <v>3800</v>
      </c>
      <c r="H636" s="188">
        <f t="shared" si="25"/>
        <v>41800</v>
      </c>
    </row>
    <row r="637" spans="1:8" x14ac:dyDescent="0.25">
      <c r="A637" s="6" t="s">
        <v>246</v>
      </c>
      <c r="B637" s="6" t="s">
        <v>247</v>
      </c>
      <c r="C637" s="6" t="s">
        <v>217</v>
      </c>
      <c r="D637" s="7">
        <v>9</v>
      </c>
      <c r="E637" s="13">
        <v>1597.7</v>
      </c>
      <c r="F637" s="13">
        <f t="shared" si="27"/>
        <v>14379.300000000001</v>
      </c>
      <c r="G637">
        <v>3800</v>
      </c>
      <c r="H637" s="188">
        <f t="shared" si="25"/>
        <v>34200</v>
      </c>
    </row>
    <row r="638" spans="1:8" x14ac:dyDescent="0.25">
      <c r="A638" s="6" t="s">
        <v>248</v>
      </c>
      <c r="B638" s="6" t="s">
        <v>249</v>
      </c>
      <c r="C638" s="6" t="s">
        <v>217</v>
      </c>
      <c r="D638" s="7">
        <v>10</v>
      </c>
      <c r="E638" s="13">
        <v>1597.7</v>
      </c>
      <c r="F638" s="13">
        <f t="shared" si="27"/>
        <v>15977</v>
      </c>
      <c r="G638">
        <v>3800</v>
      </c>
      <c r="H638" s="188">
        <f t="shared" si="25"/>
        <v>38000</v>
      </c>
    </row>
    <row r="639" spans="1:8" x14ac:dyDescent="0.25">
      <c r="A639" s="6" t="s">
        <v>250</v>
      </c>
      <c r="B639" s="6" t="s">
        <v>251</v>
      </c>
      <c r="C639" s="6" t="s">
        <v>217</v>
      </c>
      <c r="D639" s="7">
        <v>14</v>
      </c>
      <c r="E639" s="13">
        <v>1597.7</v>
      </c>
      <c r="F639" s="13">
        <f t="shared" si="27"/>
        <v>22367.8</v>
      </c>
      <c r="G639">
        <v>3800</v>
      </c>
      <c r="H639" s="188">
        <f t="shared" si="25"/>
        <v>53200</v>
      </c>
    </row>
    <row r="640" spans="1:8" x14ac:dyDescent="0.25">
      <c r="A640" s="6" t="s">
        <v>252</v>
      </c>
      <c r="B640" s="6" t="s">
        <v>253</v>
      </c>
      <c r="C640" s="6" t="s">
        <v>217</v>
      </c>
      <c r="D640" s="7">
        <v>13</v>
      </c>
      <c r="E640" s="13">
        <v>1597.7</v>
      </c>
      <c r="F640" s="13">
        <f t="shared" si="27"/>
        <v>20770.100000000002</v>
      </c>
      <c r="G640">
        <v>3800</v>
      </c>
      <c r="H640" s="188">
        <f t="shared" si="25"/>
        <v>49400</v>
      </c>
    </row>
    <row r="641" spans="1:8" x14ac:dyDescent="0.25">
      <c r="A641" s="6" t="s">
        <v>254</v>
      </c>
      <c r="B641" s="6" t="s">
        <v>255</v>
      </c>
      <c r="C641" s="6" t="s">
        <v>217</v>
      </c>
      <c r="D641" s="7">
        <v>15</v>
      </c>
      <c r="E641" s="13">
        <v>1597.7</v>
      </c>
      <c r="F641" s="13">
        <f t="shared" si="27"/>
        <v>23965.5</v>
      </c>
      <c r="G641">
        <v>3800</v>
      </c>
      <c r="H641" s="188">
        <f t="shared" si="25"/>
        <v>57000</v>
      </c>
    </row>
    <row r="642" spans="1:8" x14ac:dyDescent="0.25">
      <c r="A642" s="6" t="s">
        <v>256</v>
      </c>
      <c r="B642" s="6" t="s">
        <v>257</v>
      </c>
      <c r="C642" s="6" t="s">
        <v>217</v>
      </c>
      <c r="D642" s="7">
        <v>14</v>
      </c>
      <c r="E642" s="13">
        <v>1597.7</v>
      </c>
      <c r="F642" s="13">
        <f t="shared" si="27"/>
        <v>22367.8</v>
      </c>
      <c r="G642">
        <v>3800</v>
      </c>
      <c r="H642" s="188">
        <f t="shared" si="25"/>
        <v>53200</v>
      </c>
    </row>
    <row r="643" spans="1:8" x14ac:dyDescent="0.25">
      <c r="A643" s="6" t="s">
        <v>258</v>
      </c>
      <c r="B643" s="6" t="s">
        <v>259</v>
      </c>
      <c r="C643" s="6" t="s">
        <v>217</v>
      </c>
      <c r="D643" s="7">
        <v>16</v>
      </c>
      <c r="E643" s="13">
        <v>1597.7</v>
      </c>
      <c r="F643" s="13">
        <f t="shared" si="27"/>
        <v>25563.200000000001</v>
      </c>
      <c r="G643">
        <v>3800</v>
      </c>
      <c r="H643" s="188">
        <f t="shared" si="25"/>
        <v>60800</v>
      </c>
    </row>
    <row r="644" spans="1:8" x14ac:dyDescent="0.25">
      <c r="A644" s="6" t="s">
        <v>260</v>
      </c>
      <c r="B644" s="6" t="s">
        <v>261</v>
      </c>
      <c r="C644" s="6" t="s">
        <v>217</v>
      </c>
      <c r="D644" s="7">
        <v>19</v>
      </c>
      <c r="E644" s="13">
        <v>1597.7</v>
      </c>
      <c r="F644" s="13">
        <f t="shared" si="27"/>
        <v>30356.3</v>
      </c>
      <c r="G644">
        <v>3800</v>
      </c>
      <c r="H644" s="188">
        <f t="shared" si="25"/>
        <v>72200</v>
      </c>
    </row>
    <row r="645" spans="1:8" x14ac:dyDescent="0.25">
      <c r="A645" s="6" t="s">
        <v>262</v>
      </c>
      <c r="B645" s="6" t="s">
        <v>263</v>
      </c>
      <c r="C645" s="6" t="s">
        <v>217</v>
      </c>
      <c r="D645" s="7">
        <v>20</v>
      </c>
      <c r="E645" s="13">
        <v>1597.7</v>
      </c>
      <c r="F645" s="13">
        <f t="shared" si="27"/>
        <v>31954</v>
      </c>
      <c r="G645">
        <v>3800</v>
      </c>
      <c r="H645" s="188">
        <f t="shared" si="25"/>
        <v>76000</v>
      </c>
    </row>
    <row r="646" spans="1:8" x14ac:dyDescent="0.25">
      <c r="A646" s="6" t="s">
        <v>264</v>
      </c>
      <c r="B646" s="6" t="s">
        <v>265</v>
      </c>
      <c r="C646" s="6" t="s">
        <v>217</v>
      </c>
      <c r="D646" s="7">
        <v>15</v>
      </c>
      <c r="E646" s="13">
        <v>1597.7</v>
      </c>
      <c r="F646" s="13">
        <f t="shared" si="27"/>
        <v>23965.5</v>
      </c>
      <c r="G646">
        <v>3800</v>
      </c>
      <c r="H646" s="188">
        <f t="shared" si="25"/>
        <v>57000</v>
      </c>
    </row>
    <row r="647" spans="1:8" x14ac:dyDescent="0.25">
      <c r="A647" s="6" t="s">
        <v>266</v>
      </c>
      <c r="B647" s="6" t="s">
        <v>267</v>
      </c>
      <c r="C647" s="6" t="s">
        <v>217</v>
      </c>
      <c r="D647" s="7">
        <v>7</v>
      </c>
      <c r="E647" s="13">
        <v>1597.7</v>
      </c>
      <c r="F647" s="13">
        <f t="shared" si="27"/>
        <v>11183.9</v>
      </c>
      <c r="G647">
        <v>3800</v>
      </c>
      <c r="H647" s="188">
        <f t="shared" si="25"/>
        <v>26600</v>
      </c>
    </row>
    <row r="648" spans="1:8" x14ac:dyDescent="0.25">
      <c r="A648" s="6" t="s">
        <v>268</v>
      </c>
      <c r="B648" s="6" t="s">
        <v>269</v>
      </c>
      <c r="C648" s="6" t="s">
        <v>217</v>
      </c>
      <c r="D648" s="7">
        <v>7</v>
      </c>
      <c r="E648" s="13">
        <v>1597.7</v>
      </c>
      <c r="F648" s="13">
        <f t="shared" si="27"/>
        <v>11183.9</v>
      </c>
      <c r="G648">
        <v>3800</v>
      </c>
      <c r="H648" s="188">
        <f t="shared" si="25"/>
        <v>26600</v>
      </c>
    </row>
    <row r="649" spans="1:8" x14ac:dyDescent="0.25">
      <c r="A649" s="6" t="s">
        <v>270</v>
      </c>
      <c r="B649" s="6" t="s">
        <v>271</v>
      </c>
      <c r="C649" s="6" t="s">
        <v>217</v>
      </c>
      <c r="D649" s="7">
        <v>24</v>
      </c>
      <c r="E649" s="13">
        <v>1597.7</v>
      </c>
      <c r="F649" s="13">
        <f t="shared" si="27"/>
        <v>38344.800000000003</v>
      </c>
      <c r="G649">
        <v>3800</v>
      </c>
      <c r="H649" s="188">
        <f t="shared" si="25"/>
        <v>91200</v>
      </c>
    </row>
    <row r="650" spans="1:8" x14ac:dyDescent="0.25">
      <c r="A650" s="6" t="s">
        <v>272</v>
      </c>
      <c r="B650" s="6" t="s">
        <v>273</v>
      </c>
      <c r="C650" s="6" t="s">
        <v>217</v>
      </c>
      <c r="D650" s="7">
        <v>16</v>
      </c>
      <c r="E650" s="13">
        <v>832</v>
      </c>
      <c r="F650" s="13">
        <f t="shared" si="27"/>
        <v>13312</v>
      </c>
      <c r="G650">
        <v>2700</v>
      </c>
      <c r="H650" s="188">
        <f t="shared" ref="H650:H713" si="28">G650*D650</f>
        <v>43200</v>
      </c>
    </row>
    <row r="651" spans="1:8" x14ac:dyDescent="0.25">
      <c r="A651" s="6" t="s">
        <v>274</v>
      </c>
      <c r="B651" s="6" t="s">
        <v>275</v>
      </c>
      <c r="C651" s="6" t="s">
        <v>217</v>
      </c>
      <c r="D651" s="7">
        <v>13</v>
      </c>
      <c r="E651" s="13">
        <v>832</v>
      </c>
      <c r="F651" s="13">
        <f t="shared" si="27"/>
        <v>10816</v>
      </c>
      <c r="G651">
        <v>2700</v>
      </c>
      <c r="H651" s="188">
        <f t="shared" si="28"/>
        <v>35100</v>
      </c>
    </row>
    <row r="652" spans="1:8" x14ac:dyDescent="0.25">
      <c r="A652" s="6" t="s">
        <v>276</v>
      </c>
      <c r="B652" s="6" t="s">
        <v>277</v>
      </c>
      <c r="C652" s="6" t="s">
        <v>217</v>
      </c>
      <c r="D652" s="7">
        <v>10</v>
      </c>
      <c r="E652" s="13">
        <v>832</v>
      </c>
      <c r="F652" s="13">
        <f t="shared" si="27"/>
        <v>8320</v>
      </c>
      <c r="G652">
        <v>2700</v>
      </c>
      <c r="H652" s="188">
        <f t="shared" si="28"/>
        <v>27000</v>
      </c>
    </row>
    <row r="653" spans="1:8" x14ac:dyDescent="0.25">
      <c r="A653" s="6" t="s">
        <v>278</v>
      </c>
      <c r="B653" s="6" t="s">
        <v>279</v>
      </c>
      <c r="C653" s="6" t="s">
        <v>217</v>
      </c>
      <c r="D653" s="7">
        <v>19</v>
      </c>
      <c r="E653" s="13">
        <v>832</v>
      </c>
      <c r="F653" s="13">
        <f t="shared" si="27"/>
        <v>15808</v>
      </c>
      <c r="G653">
        <v>2700</v>
      </c>
      <c r="H653" s="188">
        <f t="shared" si="28"/>
        <v>51300</v>
      </c>
    </row>
    <row r="654" spans="1:8" x14ac:dyDescent="0.25">
      <c r="A654" s="6" t="s">
        <v>280</v>
      </c>
      <c r="B654" s="6" t="s">
        <v>281</v>
      </c>
      <c r="C654" s="6" t="s">
        <v>217</v>
      </c>
      <c r="D654" s="7">
        <v>22</v>
      </c>
      <c r="E654" s="13">
        <v>832</v>
      </c>
      <c r="F654" s="13">
        <f t="shared" si="27"/>
        <v>18304</v>
      </c>
      <c r="G654">
        <v>2700</v>
      </c>
      <c r="H654" s="188">
        <f t="shared" si="28"/>
        <v>59400</v>
      </c>
    </row>
    <row r="655" spans="1:8" x14ac:dyDescent="0.25">
      <c r="A655" s="6" t="s">
        <v>282</v>
      </c>
      <c r="B655" s="6" t="s">
        <v>283</v>
      </c>
      <c r="C655" s="6" t="s">
        <v>217</v>
      </c>
      <c r="D655" s="7">
        <v>22</v>
      </c>
      <c r="E655" s="13">
        <v>832</v>
      </c>
      <c r="F655" s="13">
        <f t="shared" si="27"/>
        <v>18304</v>
      </c>
      <c r="G655">
        <v>2700</v>
      </c>
      <c r="H655" s="188">
        <f t="shared" si="28"/>
        <v>59400</v>
      </c>
    </row>
    <row r="656" spans="1:8" x14ac:dyDescent="0.25">
      <c r="A656" s="6" t="s">
        <v>284</v>
      </c>
      <c r="B656" s="6" t="s">
        <v>285</v>
      </c>
      <c r="C656" s="6" t="s">
        <v>217</v>
      </c>
      <c r="D656" s="7">
        <v>5</v>
      </c>
      <c r="E656" s="13">
        <v>832</v>
      </c>
      <c r="F656" s="13">
        <f t="shared" si="27"/>
        <v>4160</v>
      </c>
      <c r="G656">
        <v>2700</v>
      </c>
      <c r="H656" s="188">
        <f t="shared" si="28"/>
        <v>13500</v>
      </c>
    </row>
    <row r="657" spans="1:8" x14ac:dyDescent="0.25">
      <c r="A657" s="6" t="s">
        <v>286</v>
      </c>
      <c r="B657" s="6" t="s">
        <v>287</v>
      </c>
      <c r="C657" s="6" t="s">
        <v>217</v>
      </c>
      <c r="D657" s="7">
        <v>8</v>
      </c>
      <c r="E657" s="13">
        <v>832</v>
      </c>
      <c r="F657" s="13">
        <f t="shared" si="27"/>
        <v>6656</v>
      </c>
      <c r="G657">
        <v>2700</v>
      </c>
      <c r="H657" s="188">
        <f t="shared" si="28"/>
        <v>21600</v>
      </c>
    </row>
    <row r="658" spans="1:8" x14ac:dyDescent="0.25">
      <c r="A658" s="6" t="s">
        <v>288</v>
      </c>
      <c r="B658" s="6" t="s">
        <v>289</v>
      </c>
      <c r="C658" s="6" t="s">
        <v>217</v>
      </c>
      <c r="D658" s="7">
        <v>9</v>
      </c>
      <c r="E658" s="13">
        <v>1544</v>
      </c>
      <c r="F658" s="13">
        <f t="shared" si="27"/>
        <v>13896</v>
      </c>
      <c r="G658">
        <v>4900</v>
      </c>
      <c r="H658" s="188">
        <f t="shared" si="28"/>
        <v>44100</v>
      </c>
    </row>
    <row r="659" spans="1:8" x14ac:dyDescent="0.25">
      <c r="A659" s="6" t="s">
        <v>290</v>
      </c>
      <c r="B659" s="6" t="s">
        <v>291</v>
      </c>
      <c r="C659" s="6" t="s">
        <v>217</v>
      </c>
      <c r="D659" s="7">
        <v>11</v>
      </c>
      <c r="E659" s="13">
        <v>1544</v>
      </c>
      <c r="F659" s="13">
        <f t="shared" si="27"/>
        <v>16984</v>
      </c>
      <c r="G659">
        <v>4900</v>
      </c>
      <c r="H659" s="188">
        <f t="shared" si="28"/>
        <v>53900</v>
      </c>
    </row>
    <row r="660" spans="1:8" x14ac:dyDescent="0.25">
      <c r="A660" s="6" t="s">
        <v>292</v>
      </c>
      <c r="B660" s="6" t="s">
        <v>293</v>
      </c>
      <c r="C660" s="6" t="s">
        <v>217</v>
      </c>
      <c r="D660" s="7">
        <v>9</v>
      </c>
      <c r="E660" s="13">
        <v>1544</v>
      </c>
      <c r="F660" s="13">
        <f t="shared" si="27"/>
        <v>13896</v>
      </c>
      <c r="G660">
        <v>4900</v>
      </c>
      <c r="H660" s="188">
        <f t="shared" si="28"/>
        <v>44100</v>
      </c>
    </row>
    <row r="661" spans="1:8" x14ac:dyDescent="0.25">
      <c r="A661" s="6" t="s">
        <v>294</v>
      </c>
      <c r="B661" s="6" t="s">
        <v>295</v>
      </c>
      <c r="C661" s="6" t="s">
        <v>217</v>
      </c>
      <c r="D661" s="7">
        <v>1</v>
      </c>
      <c r="E661" s="13">
        <v>1544</v>
      </c>
      <c r="F661" s="13">
        <f t="shared" si="27"/>
        <v>1544</v>
      </c>
      <c r="G661">
        <v>4900</v>
      </c>
      <c r="H661" s="188">
        <f t="shared" si="28"/>
        <v>4900</v>
      </c>
    </row>
    <row r="662" spans="1:8" x14ac:dyDescent="0.25">
      <c r="A662" s="6" t="s">
        <v>296</v>
      </c>
      <c r="B662" s="6" t="s">
        <v>297</v>
      </c>
      <c r="C662" s="6" t="s">
        <v>217</v>
      </c>
      <c r="D662" s="7">
        <v>21</v>
      </c>
      <c r="E662" s="13">
        <v>1544</v>
      </c>
      <c r="F662" s="13">
        <f t="shared" si="27"/>
        <v>32424</v>
      </c>
      <c r="G662">
        <v>4900</v>
      </c>
      <c r="H662" s="188">
        <f t="shared" si="28"/>
        <v>102900</v>
      </c>
    </row>
    <row r="663" spans="1:8" x14ac:dyDescent="0.25">
      <c r="A663" s="6" t="s">
        <v>298</v>
      </c>
      <c r="B663" s="6" t="s">
        <v>299</v>
      </c>
      <c r="C663" s="6" t="s">
        <v>217</v>
      </c>
      <c r="D663" s="7">
        <v>11</v>
      </c>
      <c r="E663" s="13">
        <v>1544</v>
      </c>
      <c r="F663" s="13">
        <f t="shared" si="27"/>
        <v>16984</v>
      </c>
      <c r="G663">
        <v>4900</v>
      </c>
      <c r="H663" s="188">
        <f t="shared" si="28"/>
        <v>53900</v>
      </c>
    </row>
    <row r="664" spans="1:8" x14ac:dyDescent="0.25">
      <c r="A664" s="6" t="s">
        <v>300</v>
      </c>
      <c r="B664" s="6" t="s">
        <v>301</v>
      </c>
      <c r="C664" s="6" t="s">
        <v>217</v>
      </c>
      <c r="D664" s="7">
        <v>20</v>
      </c>
      <c r="E664" s="13">
        <v>1544</v>
      </c>
      <c r="F664" s="13">
        <f t="shared" si="27"/>
        <v>30880</v>
      </c>
      <c r="G664">
        <v>4900</v>
      </c>
      <c r="H664" s="188">
        <f t="shared" si="28"/>
        <v>98000</v>
      </c>
    </row>
    <row r="665" spans="1:8" x14ac:dyDescent="0.25">
      <c r="A665" s="6" t="s">
        <v>362</v>
      </c>
      <c r="B665" s="6" t="s">
        <v>363</v>
      </c>
      <c r="C665" s="6" t="s">
        <v>217</v>
      </c>
      <c r="D665" s="7">
        <v>193</v>
      </c>
      <c r="E665" s="13">
        <v>1597.7</v>
      </c>
      <c r="F665" s="13">
        <f t="shared" si="27"/>
        <v>308356.10000000003</v>
      </c>
      <c r="G665">
        <v>3800</v>
      </c>
      <c r="H665" s="188">
        <f t="shared" si="28"/>
        <v>733400</v>
      </c>
    </row>
    <row r="666" spans="1:8" x14ac:dyDescent="0.25">
      <c r="A666" s="6" t="s">
        <v>380</v>
      </c>
      <c r="B666" s="6" t="s">
        <v>381</v>
      </c>
      <c r="C666" s="6" t="s">
        <v>217</v>
      </c>
      <c r="D666" s="7">
        <v>169</v>
      </c>
      <c r="E666" s="13">
        <v>731</v>
      </c>
      <c r="F666" s="13">
        <f t="shared" si="27"/>
        <v>123539</v>
      </c>
      <c r="G666">
        <v>2000</v>
      </c>
      <c r="H666" s="188">
        <f t="shared" si="28"/>
        <v>338000</v>
      </c>
    </row>
    <row r="667" spans="1:8" x14ac:dyDescent="0.25">
      <c r="A667" s="6" t="s">
        <v>302</v>
      </c>
      <c r="B667" s="6" t="s">
        <v>303</v>
      </c>
      <c r="C667" s="6" t="s">
        <v>217</v>
      </c>
      <c r="D667" s="7">
        <v>8</v>
      </c>
      <c r="E667" s="13">
        <v>2977</v>
      </c>
      <c r="F667" s="13">
        <f t="shared" si="27"/>
        <v>23816</v>
      </c>
      <c r="G667">
        <v>5800</v>
      </c>
      <c r="H667" s="188">
        <f t="shared" si="28"/>
        <v>46400</v>
      </c>
    </row>
    <row r="668" spans="1:8" x14ac:dyDescent="0.25">
      <c r="A668" s="6" t="s">
        <v>304</v>
      </c>
      <c r="B668" s="6" t="s">
        <v>305</v>
      </c>
      <c r="C668" s="6" t="s">
        <v>217</v>
      </c>
      <c r="D668" s="7">
        <v>11</v>
      </c>
      <c r="E668" s="13">
        <v>2977</v>
      </c>
      <c r="F668" s="13">
        <f t="shared" si="27"/>
        <v>32747</v>
      </c>
      <c r="G668">
        <v>5800</v>
      </c>
      <c r="H668" s="188">
        <f t="shared" si="28"/>
        <v>63800</v>
      </c>
    </row>
    <row r="669" spans="1:8" x14ac:dyDescent="0.25">
      <c r="A669" s="6" t="s">
        <v>306</v>
      </c>
      <c r="B669" s="6" t="s">
        <v>307</v>
      </c>
      <c r="C669" s="6" t="s">
        <v>217</v>
      </c>
      <c r="D669" s="7">
        <v>6</v>
      </c>
      <c r="E669" s="13">
        <v>2977</v>
      </c>
      <c r="F669" s="13">
        <f t="shared" si="27"/>
        <v>17862</v>
      </c>
      <c r="G669">
        <v>5800</v>
      </c>
      <c r="H669" s="188">
        <f t="shared" si="28"/>
        <v>34800</v>
      </c>
    </row>
    <row r="670" spans="1:8" x14ac:dyDescent="0.25">
      <c r="A670" s="6" t="s">
        <v>308</v>
      </c>
      <c r="B670" s="6" t="s">
        <v>309</v>
      </c>
      <c r="C670" s="6" t="s">
        <v>217</v>
      </c>
      <c r="D670" s="7">
        <v>8</v>
      </c>
      <c r="E670" s="13">
        <v>2977</v>
      </c>
      <c r="F670" s="13">
        <f t="shared" si="27"/>
        <v>23816</v>
      </c>
      <c r="G670">
        <v>5800</v>
      </c>
      <c r="H670" s="188">
        <f t="shared" si="28"/>
        <v>46400</v>
      </c>
    </row>
    <row r="671" spans="1:8" x14ac:dyDescent="0.25">
      <c r="A671" s="6" t="s">
        <v>310</v>
      </c>
      <c r="B671" s="6" t="s">
        <v>311</v>
      </c>
      <c r="C671" s="6" t="s">
        <v>217</v>
      </c>
      <c r="D671" s="7">
        <v>10</v>
      </c>
      <c r="E671" s="13">
        <v>2977</v>
      </c>
      <c r="F671" s="13">
        <f t="shared" si="27"/>
        <v>29770</v>
      </c>
      <c r="G671">
        <v>5800</v>
      </c>
      <c r="H671" s="188">
        <f t="shared" si="28"/>
        <v>58000</v>
      </c>
    </row>
    <row r="672" spans="1:8" x14ac:dyDescent="0.25">
      <c r="A672" s="6" t="s">
        <v>312</v>
      </c>
      <c r="B672" s="6" t="s">
        <v>313</v>
      </c>
      <c r="C672" s="6" t="s">
        <v>217</v>
      </c>
      <c r="D672" s="7">
        <v>10</v>
      </c>
      <c r="E672" s="13">
        <v>2977</v>
      </c>
      <c r="F672" s="13">
        <f t="shared" si="27"/>
        <v>29770</v>
      </c>
      <c r="G672">
        <v>5800</v>
      </c>
      <c r="H672" s="188">
        <f t="shared" si="28"/>
        <v>58000</v>
      </c>
    </row>
    <row r="673" spans="1:8" x14ac:dyDescent="0.25">
      <c r="A673" s="6" t="s">
        <v>314</v>
      </c>
      <c r="B673" s="6" t="s">
        <v>315</v>
      </c>
      <c r="C673" s="6" t="s">
        <v>217</v>
      </c>
      <c r="D673" s="7">
        <v>10</v>
      </c>
      <c r="E673" s="13">
        <v>2977</v>
      </c>
      <c r="F673" s="13">
        <f t="shared" si="27"/>
        <v>29770</v>
      </c>
      <c r="G673">
        <v>5800</v>
      </c>
      <c r="H673" s="188">
        <f t="shared" si="28"/>
        <v>58000</v>
      </c>
    </row>
    <row r="674" spans="1:8" x14ac:dyDescent="0.25">
      <c r="A674" s="6" t="s">
        <v>316</v>
      </c>
      <c r="B674" s="6" t="s">
        <v>317</v>
      </c>
      <c r="C674" s="6" t="s">
        <v>217</v>
      </c>
      <c r="D674" s="7">
        <v>12</v>
      </c>
      <c r="E674" s="13">
        <v>2977</v>
      </c>
      <c r="F674" s="13">
        <f t="shared" si="27"/>
        <v>35724</v>
      </c>
      <c r="G674">
        <v>5800</v>
      </c>
      <c r="H674" s="188">
        <f t="shared" si="28"/>
        <v>69600</v>
      </c>
    </row>
    <row r="675" spans="1:8" x14ac:dyDescent="0.25">
      <c r="A675" s="6" t="s">
        <v>318</v>
      </c>
      <c r="B675" s="6" t="s">
        <v>319</v>
      </c>
      <c r="C675" s="6" t="s">
        <v>217</v>
      </c>
      <c r="D675" s="7">
        <v>5</v>
      </c>
      <c r="E675" s="13">
        <v>2977</v>
      </c>
      <c r="F675" s="13">
        <f t="shared" si="27"/>
        <v>14885</v>
      </c>
      <c r="G675">
        <v>5800</v>
      </c>
      <c r="H675" s="188">
        <f t="shared" si="28"/>
        <v>29000</v>
      </c>
    </row>
    <row r="676" spans="1:8" x14ac:dyDescent="0.25">
      <c r="A676" s="6" t="s">
        <v>320</v>
      </c>
      <c r="B676" s="6" t="s">
        <v>321</v>
      </c>
      <c r="C676" s="6" t="s">
        <v>217</v>
      </c>
      <c r="D676" s="7">
        <v>8</v>
      </c>
      <c r="E676" s="13">
        <v>2977</v>
      </c>
      <c r="F676" s="13">
        <f t="shared" si="27"/>
        <v>23816</v>
      </c>
      <c r="G676">
        <v>5800</v>
      </c>
      <c r="H676" s="188">
        <f t="shared" si="28"/>
        <v>46400</v>
      </c>
    </row>
    <row r="677" spans="1:8" x14ac:dyDescent="0.25">
      <c r="A677" s="6" t="s">
        <v>322</v>
      </c>
      <c r="B677" s="6" t="s">
        <v>323</v>
      </c>
      <c r="C677" s="6" t="s">
        <v>217</v>
      </c>
      <c r="D677" s="7">
        <v>2</v>
      </c>
      <c r="E677" s="13">
        <v>2977</v>
      </c>
      <c r="F677" s="13">
        <f t="shared" si="27"/>
        <v>5954</v>
      </c>
      <c r="G677">
        <v>5800</v>
      </c>
      <c r="H677" s="188">
        <f t="shared" si="28"/>
        <v>11600</v>
      </c>
    </row>
    <row r="678" spans="1:8" x14ac:dyDescent="0.25">
      <c r="A678" s="6" t="s">
        <v>324</v>
      </c>
      <c r="B678" s="6" t="s">
        <v>325</v>
      </c>
      <c r="C678" s="6" t="s">
        <v>217</v>
      </c>
      <c r="D678" s="7">
        <v>4</v>
      </c>
      <c r="E678" s="13">
        <v>2977</v>
      </c>
      <c r="F678" s="13">
        <f t="shared" si="27"/>
        <v>11908</v>
      </c>
      <c r="G678">
        <v>5800</v>
      </c>
      <c r="H678" s="188">
        <f t="shared" si="28"/>
        <v>23200</v>
      </c>
    </row>
    <row r="679" spans="1:8" x14ac:dyDescent="0.25">
      <c r="A679" s="6" t="s">
        <v>326</v>
      </c>
      <c r="B679" s="6" t="s">
        <v>327</v>
      </c>
      <c r="C679" s="6" t="s">
        <v>217</v>
      </c>
      <c r="D679" s="7">
        <v>6</v>
      </c>
      <c r="E679" s="13">
        <v>2977</v>
      </c>
      <c r="F679" s="13">
        <f t="shared" si="27"/>
        <v>17862</v>
      </c>
      <c r="G679">
        <v>5800</v>
      </c>
      <c r="H679" s="188">
        <f t="shared" si="28"/>
        <v>34800</v>
      </c>
    </row>
    <row r="680" spans="1:8" x14ac:dyDescent="0.25">
      <c r="A680" s="6" t="s">
        <v>328</v>
      </c>
      <c r="B680" s="6" t="s">
        <v>329</v>
      </c>
      <c r="C680" s="6" t="s">
        <v>217</v>
      </c>
      <c r="D680" s="7">
        <v>9</v>
      </c>
      <c r="E680" s="13">
        <v>2977</v>
      </c>
      <c r="F680" s="13">
        <f t="shared" si="27"/>
        <v>26793</v>
      </c>
      <c r="G680">
        <v>5800</v>
      </c>
      <c r="H680" s="188">
        <f t="shared" si="28"/>
        <v>52200</v>
      </c>
    </row>
    <row r="681" spans="1:8" x14ac:dyDescent="0.25">
      <c r="A681" s="6" t="s">
        <v>364</v>
      </c>
      <c r="B681" s="6" t="s">
        <v>365</v>
      </c>
      <c r="C681" s="6" t="s">
        <v>217</v>
      </c>
      <c r="D681" s="7">
        <v>6</v>
      </c>
      <c r="E681" s="13">
        <v>2977</v>
      </c>
      <c r="F681" s="13">
        <f t="shared" si="27"/>
        <v>17862</v>
      </c>
      <c r="G681">
        <v>6700</v>
      </c>
      <c r="H681" s="188">
        <f t="shared" si="28"/>
        <v>40200</v>
      </c>
    </row>
    <row r="682" spans="1:8" x14ac:dyDescent="0.25">
      <c r="A682" s="6" t="s">
        <v>366</v>
      </c>
      <c r="B682" s="6" t="s">
        <v>367</v>
      </c>
      <c r="C682" s="6" t="s">
        <v>217</v>
      </c>
      <c r="D682" s="7">
        <v>6</v>
      </c>
      <c r="E682" s="13">
        <v>2977</v>
      </c>
      <c r="F682" s="13">
        <f t="shared" si="27"/>
        <v>17862</v>
      </c>
      <c r="G682">
        <v>6700</v>
      </c>
      <c r="H682" s="188">
        <f t="shared" si="28"/>
        <v>40200</v>
      </c>
    </row>
    <row r="683" spans="1:8" x14ac:dyDescent="0.25">
      <c r="A683" s="6" t="s">
        <v>368</v>
      </c>
      <c r="B683" s="6" t="s">
        <v>369</v>
      </c>
      <c r="C683" s="6" t="s">
        <v>217</v>
      </c>
      <c r="D683" s="7">
        <v>7</v>
      </c>
      <c r="E683" s="13">
        <v>1597.7</v>
      </c>
      <c r="F683" s="13">
        <f t="shared" si="27"/>
        <v>11183.9</v>
      </c>
      <c r="G683">
        <v>4100</v>
      </c>
      <c r="H683" s="188">
        <f t="shared" si="28"/>
        <v>28700</v>
      </c>
    </row>
    <row r="684" spans="1:8" x14ac:dyDescent="0.25">
      <c r="A684" s="6" t="s">
        <v>370</v>
      </c>
      <c r="B684" s="6" t="s">
        <v>371</v>
      </c>
      <c r="C684" s="6" t="s">
        <v>217</v>
      </c>
      <c r="D684" s="7">
        <v>9</v>
      </c>
      <c r="E684" s="13">
        <v>731</v>
      </c>
      <c r="F684" s="13">
        <f t="shared" si="27"/>
        <v>6579</v>
      </c>
      <c r="G684">
        <v>2200</v>
      </c>
      <c r="H684" s="188">
        <f t="shared" si="28"/>
        <v>19800</v>
      </c>
    </row>
    <row r="685" spans="1:8" x14ac:dyDescent="0.25">
      <c r="A685" s="6" t="s">
        <v>356</v>
      </c>
      <c r="B685" s="6" t="s">
        <v>357</v>
      </c>
      <c r="C685" s="6" t="s">
        <v>217</v>
      </c>
      <c r="D685" s="7">
        <v>3</v>
      </c>
      <c r="E685" s="13">
        <v>1277</v>
      </c>
      <c r="F685" s="13">
        <f t="shared" si="27"/>
        <v>3831</v>
      </c>
      <c r="G685">
        <v>3200</v>
      </c>
      <c r="H685" s="188">
        <f t="shared" si="28"/>
        <v>9600</v>
      </c>
    </row>
    <row r="686" spans="1:8" x14ac:dyDescent="0.25">
      <c r="A686" s="6" t="s">
        <v>382</v>
      </c>
      <c r="B686" s="6" t="s">
        <v>383</v>
      </c>
      <c r="C686" s="6" t="s">
        <v>217</v>
      </c>
      <c r="D686" s="7">
        <v>3</v>
      </c>
      <c r="E686" s="13">
        <v>832</v>
      </c>
      <c r="F686" s="13">
        <f t="shared" si="27"/>
        <v>2496</v>
      </c>
      <c r="G686">
        <v>2700</v>
      </c>
      <c r="H686" s="188">
        <f t="shared" si="28"/>
        <v>8100</v>
      </c>
    </row>
    <row r="687" spans="1:8" x14ac:dyDescent="0.25">
      <c r="A687" s="6" t="s">
        <v>386</v>
      </c>
      <c r="B687" s="6" t="s">
        <v>387</v>
      </c>
      <c r="C687" s="6" t="s">
        <v>217</v>
      </c>
      <c r="D687" s="7">
        <v>1</v>
      </c>
      <c r="E687" s="13">
        <v>1597.7</v>
      </c>
      <c r="F687" s="13">
        <f t="shared" ref="F687:F699" si="29">E687*D687</f>
        <v>1597.7</v>
      </c>
      <c r="G687">
        <v>3800</v>
      </c>
      <c r="H687" s="188">
        <f t="shared" si="28"/>
        <v>3800</v>
      </c>
    </row>
    <row r="688" spans="1:8" x14ac:dyDescent="0.25">
      <c r="A688" s="6" t="s">
        <v>388</v>
      </c>
      <c r="B688" s="6" t="s">
        <v>389</v>
      </c>
      <c r="C688" s="6" t="s">
        <v>217</v>
      </c>
      <c r="D688" s="7">
        <v>6</v>
      </c>
      <c r="E688" s="13">
        <v>2977</v>
      </c>
      <c r="F688" s="13">
        <f t="shared" si="29"/>
        <v>17862</v>
      </c>
      <c r="G688">
        <v>5800</v>
      </c>
      <c r="H688" s="188">
        <f t="shared" si="28"/>
        <v>34800</v>
      </c>
    </row>
    <row r="689" spans="1:8" x14ac:dyDescent="0.25">
      <c r="A689" s="6" t="s">
        <v>390</v>
      </c>
      <c r="B689" s="6" t="s">
        <v>391</v>
      </c>
      <c r="C689" s="6" t="s">
        <v>217</v>
      </c>
      <c r="D689" s="7">
        <v>192</v>
      </c>
      <c r="E689" s="13">
        <v>1544</v>
      </c>
      <c r="F689" s="13">
        <f t="shared" si="29"/>
        <v>296448</v>
      </c>
      <c r="G689">
        <v>4900</v>
      </c>
      <c r="H689" s="188">
        <f t="shared" si="28"/>
        <v>940800</v>
      </c>
    </row>
    <row r="690" spans="1:8" x14ac:dyDescent="0.25">
      <c r="A690" s="6" t="s">
        <v>384</v>
      </c>
      <c r="B690" s="6" t="s">
        <v>385</v>
      </c>
      <c r="C690" s="6" t="s">
        <v>217</v>
      </c>
      <c r="D690" s="7">
        <v>3</v>
      </c>
      <c r="E690" s="13">
        <v>1277</v>
      </c>
      <c r="F690" s="13">
        <f t="shared" si="29"/>
        <v>3831</v>
      </c>
      <c r="G690">
        <v>3200</v>
      </c>
      <c r="H690" s="188">
        <f t="shared" si="28"/>
        <v>9600</v>
      </c>
    </row>
    <row r="691" spans="1:8" x14ac:dyDescent="0.25">
      <c r="A691" s="6" t="s">
        <v>334</v>
      </c>
      <c r="B691" s="6" t="s">
        <v>335</v>
      </c>
      <c r="C691" s="6" t="s">
        <v>217</v>
      </c>
      <c r="D691" s="7">
        <v>1</v>
      </c>
      <c r="E691" s="13">
        <v>1277</v>
      </c>
      <c r="F691" s="13">
        <f t="shared" si="29"/>
        <v>1277</v>
      </c>
      <c r="G691">
        <v>3200</v>
      </c>
      <c r="H691" s="188">
        <f t="shared" si="28"/>
        <v>3200</v>
      </c>
    </row>
    <row r="692" spans="1:8" x14ac:dyDescent="0.25">
      <c r="A692" s="6" t="s">
        <v>336</v>
      </c>
      <c r="B692" s="6" t="s">
        <v>337</v>
      </c>
      <c r="C692" s="6" t="s">
        <v>217</v>
      </c>
      <c r="D692" s="7">
        <v>1</v>
      </c>
      <c r="E692" s="13">
        <v>1277</v>
      </c>
      <c r="F692" s="13">
        <f t="shared" si="29"/>
        <v>1277</v>
      </c>
      <c r="G692">
        <v>3200</v>
      </c>
      <c r="H692" s="188">
        <f t="shared" si="28"/>
        <v>3200</v>
      </c>
    </row>
    <row r="693" spans="1:8" x14ac:dyDescent="0.25">
      <c r="A693" s="6" t="s">
        <v>338</v>
      </c>
      <c r="B693" s="6" t="s">
        <v>339</v>
      </c>
      <c r="C693" s="6" t="s">
        <v>217</v>
      </c>
      <c r="D693" s="7">
        <v>12</v>
      </c>
      <c r="E693" s="13">
        <v>731</v>
      </c>
      <c r="F693" s="13">
        <f t="shared" si="29"/>
        <v>8772</v>
      </c>
      <c r="G693">
        <v>2000</v>
      </c>
      <c r="H693" s="188">
        <f t="shared" si="28"/>
        <v>24000</v>
      </c>
    </row>
    <row r="694" spans="1:8" x14ac:dyDescent="0.25">
      <c r="A694" s="6" t="s">
        <v>340</v>
      </c>
      <c r="B694" s="6" t="s">
        <v>341</v>
      </c>
      <c r="C694" s="6" t="s">
        <v>217</v>
      </c>
      <c r="D694" s="7">
        <v>13</v>
      </c>
      <c r="E694" s="13">
        <v>1597.7</v>
      </c>
      <c r="F694" s="13">
        <f t="shared" si="29"/>
        <v>20770.100000000002</v>
      </c>
      <c r="G694">
        <v>3800</v>
      </c>
      <c r="H694" s="188">
        <f t="shared" si="28"/>
        <v>49400</v>
      </c>
    </row>
    <row r="695" spans="1:8" x14ac:dyDescent="0.25">
      <c r="A695" s="6" t="s">
        <v>342</v>
      </c>
      <c r="B695" s="6" t="s">
        <v>343</v>
      </c>
      <c r="C695" s="6" t="s">
        <v>217</v>
      </c>
      <c r="D695" s="7">
        <v>14</v>
      </c>
      <c r="E695" s="13">
        <v>2977</v>
      </c>
      <c r="F695" s="13">
        <f t="shared" si="29"/>
        <v>41678</v>
      </c>
      <c r="G695">
        <v>5800</v>
      </c>
      <c r="H695" s="188">
        <f t="shared" si="28"/>
        <v>81200</v>
      </c>
    </row>
    <row r="696" spans="1:8" x14ac:dyDescent="0.25">
      <c r="A696" s="6" t="s">
        <v>344</v>
      </c>
      <c r="B696" s="6" t="s">
        <v>345</v>
      </c>
      <c r="C696" s="6" t="s">
        <v>217</v>
      </c>
      <c r="D696" s="7">
        <v>14</v>
      </c>
      <c r="E696" s="13">
        <v>832</v>
      </c>
      <c r="F696" s="13">
        <f t="shared" si="29"/>
        <v>11648</v>
      </c>
      <c r="G696">
        <v>2700</v>
      </c>
      <c r="H696" s="188">
        <f t="shared" si="28"/>
        <v>37800</v>
      </c>
    </row>
    <row r="697" spans="1:8" x14ac:dyDescent="0.25">
      <c r="A697" s="6" t="s">
        <v>346</v>
      </c>
      <c r="B697" s="6" t="s">
        <v>347</v>
      </c>
      <c r="C697" s="6" t="s">
        <v>217</v>
      </c>
      <c r="D697" s="7">
        <v>4</v>
      </c>
      <c r="E697" s="13">
        <v>1544</v>
      </c>
      <c r="F697" s="13">
        <f t="shared" si="29"/>
        <v>6176</v>
      </c>
      <c r="G697">
        <v>4900</v>
      </c>
      <c r="H697" s="188">
        <f t="shared" si="28"/>
        <v>19600</v>
      </c>
    </row>
    <row r="698" spans="1:8" x14ac:dyDescent="0.25">
      <c r="A698" s="6" t="s">
        <v>374</v>
      </c>
      <c r="B698" s="6" t="s">
        <v>375</v>
      </c>
      <c r="C698" s="6" t="s">
        <v>217</v>
      </c>
      <c r="D698" s="7">
        <v>14</v>
      </c>
      <c r="E698" s="13">
        <v>731</v>
      </c>
      <c r="F698" s="13">
        <f t="shared" si="29"/>
        <v>10234</v>
      </c>
      <c r="G698">
        <v>2200</v>
      </c>
      <c r="H698" s="188">
        <f t="shared" si="28"/>
        <v>30800</v>
      </c>
    </row>
    <row r="699" spans="1:8" x14ac:dyDescent="0.25">
      <c r="A699" s="6" t="s">
        <v>376</v>
      </c>
      <c r="B699" s="6" t="s">
        <v>377</v>
      </c>
      <c r="C699" s="6" t="s">
        <v>217</v>
      </c>
      <c r="D699" s="7">
        <v>6</v>
      </c>
      <c r="E699" s="13">
        <v>1597.7</v>
      </c>
      <c r="F699" s="13">
        <f t="shared" si="29"/>
        <v>9586.2000000000007</v>
      </c>
      <c r="G699">
        <v>4100</v>
      </c>
      <c r="H699" s="188">
        <f t="shared" si="28"/>
        <v>24600</v>
      </c>
    </row>
    <row r="700" spans="1:8" x14ac:dyDescent="0.25">
      <c r="A700" s="89">
        <v>45748</v>
      </c>
      <c r="B700" s="93"/>
      <c r="C700" s="93"/>
      <c r="D700" s="93"/>
      <c r="E700" s="94"/>
      <c r="F700" s="94"/>
      <c r="H700" s="188">
        <f t="shared" si="28"/>
        <v>0</v>
      </c>
    </row>
    <row r="701" spans="1:8" x14ac:dyDescent="0.25">
      <c r="A701" s="6" t="s">
        <v>215</v>
      </c>
      <c r="B701" s="6" t="s">
        <v>216</v>
      </c>
      <c r="C701" s="6" t="s">
        <v>217</v>
      </c>
      <c r="D701" s="7">
        <v>12</v>
      </c>
      <c r="E701" s="13">
        <v>731</v>
      </c>
      <c r="F701" s="13">
        <f>E701*D701</f>
        <v>8772</v>
      </c>
      <c r="G701">
        <v>2000</v>
      </c>
      <c r="H701" s="188">
        <f t="shared" si="28"/>
        <v>24000</v>
      </c>
    </row>
    <row r="702" spans="1:8" x14ac:dyDescent="0.25">
      <c r="A702" s="6" t="s">
        <v>218</v>
      </c>
      <c r="B702" s="6" t="s">
        <v>219</v>
      </c>
      <c r="C702" s="6" t="s">
        <v>217</v>
      </c>
      <c r="D702" s="7">
        <v>13</v>
      </c>
      <c r="E702" s="13">
        <v>731</v>
      </c>
      <c r="F702" s="13">
        <f t="shared" ref="F702:F765" si="30">E702*D702</f>
        <v>9503</v>
      </c>
      <c r="G702">
        <v>2000</v>
      </c>
      <c r="H702" s="188">
        <f t="shared" si="28"/>
        <v>26000</v>
      </c>
    </row>
    <row r="703" spans="1:8" x14ac:dyDescent="0.25">
      <c r="A703" s="6" t="s">
        <v>220</v>
      </c>
      <c r="B703" s="6" t="s">
        <v>221</v>
      </c>
      <c r="C703" s="6" t="s">
        <v>217</v>
      </c>
      <c r="D703" s="7">
        <v>7</v>
      </c>
      <c r="E703" s="13">
        <v>731</v>
      </c>
      <c r="F703" s="13">
        <f t="shared" si="30"/>
        <v>5117</v>
      </c>
      <c r="G703">
        <v>2000</v>
      </c>
      <c r="H703" s="188">
        <f t="shared" si="28"/>
        <v>14000</v>
      </c>
    </row>
    <row r="704" spans="1:8" x14ac:dyDescent="0.25">
      <c r="A704" s="6" t="s">
        <v>222</v>
      </c>
      <c r="B704" s="6" t="s">
        <v>223</v>
      </c>
      <c r="C704" s="6" t="s">
        <v>217</v>
      </c>
      <c r="D704" s="7">
        <v>29</v>
      </c>
      <c r="E704" s="13">
        <v>731</v>
      </c>
      <c r="F704" s="13">
        <f t="shared" si="30"/>
        <v>21199</v>
      </c>
      <c r="G704">
        <v>2000</v>
      </c>
      <c r="H704" s="188">
        <f t="shared" si="28"/>
        <v>58000</v>
      </c>
    </row>
    <row r="705" spans="1:8" x14ac:dyDescent="0.25">
      <c r="A705" s="6" t="s">
        <v>224</v>
      </c>
      <c r="B705" s="6" t="s">
        <v>225</v>
      </c>
      <c r="C705" s="6" t="s">
        <v>217</v>
      </c>
      <c r="D705" s="7">
        <v>13</v>
      </c>
      <c r="E705" s="13">
        <v>731</v>
      </c>
      <c r="F705" s="13">
        <f t="shared" si="30"/>
        <v>9503</v>
      </c>
      <c r="G705">
        <v>2000</v>
      </c>
      <c r="H705" s="188">
        <f t="shared" si="28"/>
        <v>26000</v>
      </c>
    </row>
    <row r="706" spans="1:8" x14ac:dyDescent="0.25">
      <c r="A706" s="6" t="s">
        <v>226</v>
      </c>
      <c r="B706" s="6" t="s">
        <v>227</v>
      </c>
      <c r="C706" s="6" t="s">
        <v>217</v>
      </c>
      <c r="D706" s="7">
        <v>13</v>
      </c>
      <c r="E706" s="13">
        <v>731</v>
      </c>
      <c r="F706" s="13">
        <f t="shared" si="30"/>
        <v>9503</v>
      </c>
      <c r="G706">
        <v>2000</v>
      </c>
      <c r="H706" s="188">
        <f t="shared" si="28"/>
        <v>26000</v>
      </c>
    </row>
    <row r="707" spans="1:8" x14ac:dyDescent="0.25">
      <c r="A707" s="6" t="s">
        <v>228</v>
      </c>
      <c r="B707" s="6" t="s">
        <v>229</v>
      </c>
      <c r="C707" s="6" t="s">
        <v>217</v>
      </c>
      <c r="D707" s="7">
        <v>15</v>
      </c>
      <c r="E707" s="13">
        <v>731</v>
      </c>
      <c r="F707" s="13">
        <f t="shared" si="30"/>
        <v>10965</v>
      </c>
      <c r="G707">
        <v>2000</v>
      </c>
      <c r="H707" s="188">
        <f t="shared" si="28"/>
        <v>30000</v>
      </c>
    </row>
    <row r="708" spans="1:8" x14ac:dyDescent="0.25">
      <c r="A708" s="6" t="s">
        <v>230</v>
      </c>
      <c r="B708" s="6" t="s">
        <v>231</v>
      </c>
      <c r="C708" s="6" t="s">
        <v>217</v>
      </c>
      <c r="D708" s="7">
        <v>21</v>
      </c>
      <c r="E708" s="13">
        <v>731</v>
      </c>
      <c r="F708" s="13">
        <f t="shared" si="30"/>
        <v>15351</v>
      </c>
      <c r="G708">
        <v>2000</v>
      </c>
      <c r="H708" s="188">
        <f t="shared" si="28"/>
        <v>42000</v>
      </c>
    </row>
    <row r="709" spans="1:8" x14ac:dyDescent="0.25">
      <c r="A709" s="6" t="s">
        <v>232</v>
      </c>
      <c r="B709" s="6" t="s">
        <v>233</v>
      </c>
      <c r="C709" s="6" t="s">
        <v>217</v>
      </c>
      <c r="D709" s="7">
        <v>10</v>
      </c>
      <c r="E709" s="13">
        <v>731</v>
      </c>
      <c r="F709" s="13">
        <f t="shared" si="30"/>
        <v>7310</v>
      </c>
      <c r="G709">
        <v>2000</v>
      </c>
      <c r="H709" s="188">
        <f t="shared" si="28"/>
        <v>20000</v>
      </c>
    </row>
    <row r="710" spans="1:8" x14ac:dyDescent="0.25">
      <c r="A710" s="6" t="s">
        <v>234</v>
      </c>
      <c r="B710" s="6" t="s">
        <v>235</v>
      </c>
      <c r="C710" s="6" t="s">
        <v>217</v>
      </c>
      <c r="D710" s="7">
        <v>5</v>
      </c>
      <c r="E710" s="13">
        <v>731</v>
      </c>
      <c r="F710" s="13">
        <f t="shared" si="30"/>
        <v>3655</v>
      </c>
      <c r="G710">
        <v>2000</v>
      </c>
      <c r="H710" s="188">
        <f t="shared" si="28"/>
        <v>10000</v>
      </c>
    </row>
    <row r="711" spans="1:8" x14ac:dyDescent="0.25">
      <c r="A711" s="6" t="s">
        <v>236</v>
      </c>
      <c r="B711" s="6" t="s">
        <v>237</v>
      </c>
      <c r="C711" s="6" t="s">
        <v>217</v>
      </c>
      <c r="D711" s="7">
        <v>28</v>
      </c>
      <c r="E711" s="13">
        <v>731</v>
      </c>
      <c r="F711" s="13">
        <f t="shared" si="30"/>
        <v>20468</v>
      </c>
      <c r="G711">
        <v>2000</v>
      </c>
      <c r="H711" s="188">
        <f t="shared" si="28"/>
        <v>56000</v>
      </c>
    </row>
    <row r="712" spans="1:8" x14ac:dyDescent="0.25">
      <c r="A712" s="6" t="s">
        <v>238</v>
      </c>
      <c r="B712" s="6" t="s">
        <v>239</v>
      </c>
      <c r="C712" s="6" t="s">
        <v>217</v>
      </c>
      <c r="D712" s="7">
        <v>13</v>
      </c>
      <c r="E712" s="13">
        <v>731</v>
      </c>
      <c r="F712" s="13">
        <f t="shared" si="30"/>
        <v>9503</v>
      </c>
      <c r="G712">
        <v>2000</v>
      </c>
      <c r="H712" s="188">
        <f t="shared" si="28"/>
        <v>26000</v>
      </c>
    </row>
    <row r="713" spans="1:8" x14ac:dyDescent="0.25">
      <c r="A713" s="6" t="s">
        <v>240</v>
      </c>
      <c r="B713" s="6" t="s">
        <v>241</v>
      </c>
      <c r="C713" s="6" t="s">
        <v>217</v>
      </c>
      <c r="D713" s="7">
        <v>13</v>
      </c>
      <c r="E713" s="13">
        <v>731</v>
      </c>
      <c r="F713" s="13">
        <f t="shared" si="30"/>
        <v>9503</v>
      </c>
      <c r="G713">
        <v>2000</v>
      </c>
      <c r="H713" s="188">
        <f t="shared" si="28"/>
        <v>26000</v>
      </c>
    </row>
    <row r="714" spans="1:8" x14ac:dyDescent="0.25">
      <c r="A714" s="6" t="s">
        <v>242</v>
      </c>
      <c r="B714" s="6" t="s">
        <v>243</v>
      </c>
      <c r="C714" s="6" t="s">
        <v>217</v>
      </c>
      <c r="D714" s="7">
        <v>16</v>
      </c>
      <c r="E714" s="13">
        <v>731</v>
      </c>
      <c r="F714" s="13">
        <f t="shared" si="30"/>
        <v>11696</v>
      </c>
      <c r="G714">
        <v>2000</v>
      </c>
      <c r="H714" s="188">
        <f t="shared" ref="H714:H777" si="31">G714*D714</f>
        <v>32000</v>
      </c>
    </row>
    <row r="715" spans="1:8" x14ac:dyDescent="0.25">
      <c r="A715" s="6" t="s">
        <v>244</v>
      </c>
      <c r="B715" s="6" t="s">
        <v>245</v>
      </c>
      <c r="C715" s="6" t="s">
        <v>217</v>
      </c>
      <c r="D715" s="7">
        <v>8</v>
      </c>
      <c r="E715" s="13">
        <v>1597.7</v>
      </c>
      <c r="F715" s="13">
        <f t="shared" si="30"/>
        <v>12781.6</v>
      </c>
      <c r="G715">
        <v>3800</v>
      </c>
      <c r="H715" s="188">
        <f t="shared" si="31"/>
        <v>30400</v>
      </c>
    </row>
    <row r="716" spans="1:8" x14ac:dyDescent="0.25">
      <c r="A716" s="6" t="s">
        <v>246</v>
      </c>
      <c r="B716" s="6" t="s">
        <v>247</v>
      </c>
      <c r="C716" s="6" t="s">
        <v>217</v>
      </c>
      <c r="D716" s="7">
        <v>14</v>
      </c>
      <c r="E716" s="13">
        <v>1597.7</v>
      </c>
      <c r="F716" s="13">
        <f t="shared" si="30"/>
        <v>22367.8</v>
      </c>
      <c r="G716">
        <v>3800</v>
      </c>
      <c r="H716" s="188">
        <f t="shared" si="31"/>
        <v>53200</v>
      </c>
    </row>
    <row r="717" spans="1:8" x14ac:dyDescent="0.25">
      <c r="A717" s="6" t="s">
        <v>248</v>
      </c>
      <c r="B717" s="6" t="s">
        <v>249</v>
      </c>
      <c r="C717" s="6" t="s">
        <v>217</v>
      </c>
      <c r="D717" s="7">
        <v>13</v>
      </c>
      <c r="E717" s="13">
        <v>1597.7</v>
      </c>
      <c r="F717" s="13">
        <f t="shared" si="30"/>
        <v>20770.100000000002</v>
      </c>
      <c r="G717">
        <v>3800</v>
      </c>
      <c r="H717" s="188">
        <f t="shared" si="31"/>
        <v>49400</v>
      </c>
    </row>
    <row r="718" spans="1:8" x14ac:dyDescent="0.25">
      <c r="A718" s="6" t="s">
        <v>250</v>
      </c>
      <c r="B718" s="6" t="s">
        <v>251</v>
      </c>
      <c r="C718" s="6" t="s">
        <v>217</v>
      </c>
      <c r="D718" s="7">
        <v>6</v>
      </c>
      <c r="E718" s="13">
        <v>1597.7</v>
      </c>
      <c r="F718" s="13">
        <f t="shared" si="30"/>
        <v>9586.2000000000007</v>
      </c>
      <c r="G718">
        <v>3800</v>
      </c>
      <c r="H718" s="188">
        <f t="shared" si="31"/>
        <v>22800</v>
      </c>
    </row>
    <row r="719" spans="1:8" x14ac:dyDescent="0.25">
      <c r="A719" s="6" t="s">
        <v>252</v>
      </c>
      <c r="B719" s="6" t="s">
        <v>253</v>
      </c>
      <c r="C719" s="6" t="s">
        <v>217</v>
      </c>
      <c r="D719" s="7">
        <v>6</v>
      </c>
      <c r="E719" s="13">
        <v>1597.7</v>
      </c>
      <c r="F719" s="13">
        <f t="shared" si="30"/>
        <v>9586.2000000000007</v>
      </c>
      <c r="G719">
        <v>3800</v>
      </c>
      <c r="H719" s="188">
        <f t="shared" si="31"/>
        <v>22800</v>
      </c>
    </row>
    <row r="720" spans="1:8" x14ac:dyDescent="0.25">
      <c r="A720" s="6" t="s">
        <v>254</v>
      </c>
      <c r="B720" s="6" t="s">
        <v>255</v>
      </c>
      <c r="C720" s="6" t="s">
        <v>217</v>
      </c>
      <c r="D720" s="7">
        <v>10</v>
      </c>
      <c r="E720" s="13">
        <v>1597.7</v>
      </c>
      <c r="F720" s="13">
        <f t="shared" si="30"/>
        <v>15977</v>
      </c>
      <c r="G720">
        <v>3800</v>
      </c>
      <c r="H720" s="188">
        <f t="shared" si="31"/>
        <v>38000</v>
      </c>
    </row>
    <row r="721" spans="1:8" x14ac:dyDescent="0.25">
      <c r="A721" s="6" t="s">
        <v>256</v>
      </c>
      <c r="B721" s="6" t="s">
        <v>257</v>
      </c>
      <c r="C721" s="6" t="s">
        <v>217</v>
      </c>
      <c r="D721" s="7">
        <v>11</v>
      </c>
      <c r="E721" s="13">
        <v>1597.7</v>
      </c>
      <c r="F721" s="13">
        <f t="shared" si="30"/>
        <v>17574.7</v>
      </c>
      <c r="G721">
        <v>3800</v>
      </c>
      <c r="H721" s="188">
        <f t="shared" si="31"/>
        <v>41800</v>
      </c>
    </row>
    <row r="722" spans="1:8" x14ac:dyDescent="0.25">
      <c r="A722" s="6" t="s">
        <v>258</v>
      </c>
      <c r="B722" s="6" t="s">
        <v>259</v>
      </c>
      <c r="C722" s="6" t="s">
        <v>217</v>
      </c>
      <c r="D722" s="7">
        <v>15</v>
      </c>
      <c r="E722" s="13">
        <v>1597.7</v>
      </c>
      <c r="F722" s="13">
        <f t="shared" si="30"/>
        <v>23965.5</v>
      </c>
      <c r="G722">
        <v>3800</v>
      </c>
      <c r="H722" s="188">
        <f t="shared" si="31"/>
        <v>57000</v>
      </c>
    </row>
    <row r="723" spans="1:8" x14ac:dyDescent="0.25">
      <c r="A723" s="6" t="s">
        <v>260</v>
      </c>
      <c r="B723" s="6" t="s">
        <v>261</v>
      </c>
      <c r="C723" s="6" t="s">
        <v>217</v>
      </c>
      <c r="D723" s="7">
        <v>8</v>
      </c>
      <c r="E723" s="13">
        <v>1597.7</v>
      </c>
      <c r="F723" s="13">
        <f t="shared" si="30"/>
        <v>12781.6</v>
      </c>
      <c r="G723">
        <v>3800</v>
      </c>
      <c r="H723" s="188">
        <f t="shared" si="31"/>
        <v>30400</v>
      </c>
    </row>
    <row r="724" spans="1:8" x14ac:dyDescent="0.25">
      <c r="A724" s="6" t="s">
        <v>262</v>
      </c>
      <c r="B724" s="6" t="s">
        <v>263</v>
      </c>
      <c r="C724" s="6" t="s">
        <v>217</v>
      </c>
      <c r="D724" s="7">
        <v>14</v>
      </c>
      <c r="E724" s="13">
        <v>1597.7</v>
      </c>
      <c r="F724" s="13">
        <f t="shared" si="30"/>
        <v>22367.8</v>
      </c>
      <c r="G724">
        <v>3800</v>
      </c>
      <c r="H724" s="188">
        <f t="shared" si="31"/>
        <v>53200</v>
      </c>
    </row>
    <row r="725" spans="1:8" x14ac:dyDescent="0.25">
      <c r="A725" s="6" t="s">
        <v>264</v>
      </c>
      <c r="B725" s="6" t="s">
        <v>265</v>
      </c>
      <c r="C725" s="6" t="s">
        <v>217</v>
      </c>
      <c r="D725" s="7">
        <v>13</v>
      </c>
      <c r="E725" s="13">
        <v>1597.7</v>
      </c>
      <c r="F725" s="13">
        <f t="shared" si="30"/>
        <v>20770.100000000002</v>
      </c>
      <c r="G725">
        <v>3800</v>
      </c>
      <c r="H725" s="188">
        <f t="shared" si="31"/>
        <v>49400</v>
      </c>
    </row>
    <row r="726" spans="1:8" x14ac:dyDescent="0.25">
      <c r="A726" s="6" t="s">
        <v>266</v>
      </c>
      <c r="B726" s="6" t="s">
        <v>267</v>
      </c>
      <c r="C726" s="6" t="s">
        <v>217</v>
      </c>
      <c r="D726" s="7">
        <v>7</v>
      </c>
      <c r="E726" s="13">
        <v>1597.7</v>
      </c>
      <c r="F726" s="13">
        <f t="shared" si="30"/>
        <v>11183.9</v>
      </c>
      <c r="G726">
        <v>3800</v>
      </c>
      <c r="H726" s="188">
        <f t="shared" si="31"/>
        <v>26600</v>
      </c>
    </row>
    <row r="727" spans="1:8" x14ac:dyDescent="0.25">
      <c r="A727" s="6" t="s">
        <v>268</v>
      </c>
      <c r="B727" s="6" t="s">
        <v>269</v>
      </c>
      <c r="C727" s="6" t="s">
        <v>217</v>
      </c>
      <c r="D727" s="7">
        <v>4</v>
      </c>
      <c r="E727" s="13">
        <v>1597.7</v>
      </c>
      <c r="F727" s="13">
        <f t="shared" si="30"/>
        <v>6390.8</v>
      </c>
      <c r="G727">
        <v>3800</v>
      </c>
      <c r="H727" s="188">
        <f t="shared" si="31"/>
        <v>15200</v>
      </c>
    </row>
    <row r="728" spans="1:8" x14ac:dyDescent="0.25">
      <c r="A728" s="6" t="s">
        <v>270</v>
      </c>
      <c r="B728" s="6" t="s">
        <v>271</v>
      </c>
      <c r="C728" s="6" t="s">
        <v>217</v>
      </c>
      <c r="D728" s="7">
        <v>11</v>
      </c>
      <c r="E728" s="13">
        <v>1597.7</v>
      </c>
      <c r="F728" s="13">
        <f t="shared" si="30"/>
        <v>17574.7</v>
      </c>
      <c r="G728">
        <v>3800</v>
      </c>
      <c r="H728" s="188">
        <f t="shared" si="31"/>
        <v>41800</v>
      </c>
    </row>
    <row r="729" spans="1:8" x14ac:dyDescent="0.25">
      <c r="A729" s="6" t="s">
        <v>394</v>
      </c>
      <c r="B729" s="6" t="s">
        <v>395</v>
      </c>
      <c r="C729" s="6" t="s">
        <v>217</v>
      </c>
      <c r="D729" s="7">
        <v>1</v>
      </c>
      <c r="E729" s="13">
        <v>832</v>
      </c>
      <c r="F729" s="13">
        <f t="shared" si="30"/>
        <v>832</v>
      </c>
      <c r="G729">
        <v>2700</v>
      </c>
      <c r="H729" s="188">
        <f t="shared" si="31"/>
        <v>2700</v>
      </c>
    </row>
    <row r="730" spans="1:8" x14ac:dyDescent="0.25">
      <c r="A730" s="6" t="s">
        <v>272</v>
      </c>
      <c r="B730" s="6" t="s">
        <v>273</v>
      </c>
      <c r="C730" s="6" t="s">
        <v>217</v>
      </c>
      <c r="D730" s="7">
        <v>14</v>
      </c>
      <c r="E730" s="13">
        <v>832</v>
      </c>
      <c r="F730" s="13">
        <f t="shared" si="30"/>
        <v>11648</v>
      </c>
      <c r="G730">
        <v>2700</v>
      </c>
      <c r="H730" s="188">
        <f t="shared" si="31"/>
        <v>37800</v>
      </c>
    </row>
    <row r="731" spans="1:8" x14ac:dyDescent="0.25">
      <c r="A731" s="6" t="s">
        <v>274</v>
      </c>
      <c r="B731" s="6" t="s">
        <v>275</v>
      </c>
      <c r="C731" s="6" t="s">
        <v>217</v>
      </c>
      <c r="D731" s="7">
        <v>2</v>
      </c>
      <c r="E731" s="13">
        <v>832</v>
      </c>
      <c r="F731" s="13">
        <f t="shared" si="30"/>
        <v>1664</v>
      </c>
      <c r="G731">
        <v>2700</v>
      </c>
      <c r="H731" s="188">
        <f t="shared" si="31"/>
        <v>5400</v>
      </c>
    </row>
    <row r="732" spans="1:8" x14ac:dyDescent="0.25">
      <c r="A732" s="6" t="s">
        <v>276</v>
      </c>
      <c r="B732" s="6" t="s">
        <v>277</v>
      </c>
      <c r="C732" s="6" t="s">
        <v>217</v>
      </c>
      <c r="D732" s="7">
        <v>6</v>
      </c>
      <c r="E732" s="13">
        <v>832</v>
      </c>
      <c r="F732" s="13">
        <f t="shared" si="30"/>
        <v>4992</v>
      </c>
      <c r="G732">
        <v>2700</v>
      </c>
      <c r="H732" s="188">
        <f t="shared" si="31"/>
        <v>16200</v>
      </c>
    </row>
    <row r="733" spans="1:8" x14ac:dyDescent="0.25">
      <c r="A733" s="6" t="s">
        <v>278</v>
      </c>
      <c r="B733" s="6" t="s">
        <v>279</v>
      </c>
      <c r="C733" s="6" t="s">
        <v>217</v>
      </c>
      <c r="D733" s="7">
        <v>8</v>
      </c>
      <c r="E733" s="13">
        <v>832</v>
      </c>
      <c r="F733" s="13">
        <f t="shared" si="30"/>
        <v>6656</v>
      </c>
      <c r="G733">
        <v>2700</v>
      </c>
      <c r="H733" s="188">
        <f t="shared" si="31"/>
        <v>21600</v>
      </c>
    </row>
    <row r="734" spans="1:8" x14ac:dyDescent="0.25">
      <c r="A734" s="6" t="s">
        <v>280</v>
      </c>
      <c r="B734" s="6" t="s">
        <v>281</v>
      </c>
      <c r="C734" s="6" t="s">
        <v>217</v>
      </c>
      <c r="D734" s="7">
        <v>14</v>
      </c>
      <c r="E734" s="13">
        <v>832</v>
      </c>
      <c r="F734" s="13">
        <f t="shared" si="30"/>
        <v>11648</v>
      </c>
      <c r="G734">
        <v>2700</v>
      </c>
      <c r="H734" s="188">
        <f t="shared" si="31"/>
        <v>37800</v>
      </c>
    </row>
    <row r="735" spans="1:8" x14ac:dyDescent="0.25">
      <c r="A735" s="6" t="s">
        <v>282</v>
      </c>
      <c r="B735" s="6" t="s">
        <v>283</v>
      </c>
      <c r="C735" s="6" t="s">
        <v>217</v>
      </c>
      <c r="D735" s="7">
        <v>34</v>
      </c>
      <c r="E735" s="13">
        <v>832</v>
      </c>
      <c r="F735" s="13">
        <f t="shared" si="30"/>
        <v>28288</v>
      </c>
      <c r="G735">
        <v>2700</v>
      </c>
      <c r="H735" s="188">
        <f t="shared" si="31"/>
        <v>91800</v>
      </c>
    </row>
    <row r="736" spans="1:8" x14ac:dyDescent="0.25">
      <c r="A736" s="6" t="s">
        <v>284</v>
      </c>
      <c r="B736" s="6" t="s">
        <v>285</v>
      </c>
      <c r="C736" s="6" t="s">
        <v>217</v>
      </c>
      <c r="D736" s="7">
        <v>9</v>
      </c>
      <c r="E736" s="13">
        <v>832</v>
      </c>
      <c r="F736" s="13">
        <f t="shared" si="30"/>
        <v>7488</v>
      </c>
      <c r="G736">
        <v>2700</v>
      </c>
      <c r="H736" s="188">
        <f t="shared" si="31"/>
        <v>24300</v>
      </c>
    </row>
    <row r="737" spans="1:8" x14ac:dyDescent="0.25">
      <c r="A737" s="6" t="s">
        <v>286</v>
      </c>
      <c r="B737" s="6" t="s">
        <v>287</v>
      </c>
      <c r="C737" s="6" t="s">
        <v>217</v>
      </c>
      <c r="D737" s="7">
        <v>2</v>
      </c>
      <c r="E737" s="13">
        <v>832</v>
      </c>
      <c r="F737" s="13">
        <f t="shared" si="30"/>
        <v>1664</v>
      </c>
      <c r="G737">
        <v>2700</v>
      </c>
      <c r="H737" s="188">
        <f t="shared" si="31"/>
        <v>5400</v>
      </c>
    </row>
    <row r="738" spans="1:8" x14ac:dyDescent="0.25">
      <c r="A738" s="6" t="s">
        <v>288</v>
      </c>
      <c r="B738" s="6" t="s">
        <v>289</v>
      </c>
      <c r="C738" s="6" t="s">
        <v>217</v>
      </c>
      <c r="D738" s="7">
        <v>11</v>
      </c>
      <c r="E738" s="13">
        <v>1544</v>
      </c>
      <c r="F738" s="13">
        <f t="shared" si="30"/>
        <v>16984</v>
      </c>
      <c r="G738">
        <v>4900</v>
      </c>
      <c r="H738" s="188">
        <f t="shared" si="31"/>
        <v>53900</v>
      </c>
    </row>
    <row r="739" spans="1:8" x14ac:dyDescent="0.25">
      <c r="A739" s="6" t="s">
        <v>290</v>
      </c>
      <c r="B739" s="6" t="s">
        <v>291</v>
      </c>
      <c r="C739" s="6" t="s">
        <v>217</v>
      </c>
      <c r="D739" s="7">
        <v>9</v>
      </c>
      <c r="E739" s="13">
        <v>1544</v>
      </c>
      <c r="F739" s="13">
        <f t="shared" si="30"/>
        <v>13896</v>
      </c>
      <c r="G739">
        <v>4900</v>
      </c>
      <c r="H739" s="188">
        <f t="shared" si="31"/>
        <v>44100</v>
      </c>
    </row>
    <row r="740" spans="1:8" x14ac:dyDescent="0.25">
      <c r="A740" s="6" t="s">
        <v>292</v>
      </c>
      <c r="B740" s="6" t="s">
        <v>293</v>
      </c>
      <c r="C740" s="6" t="s">
        <v>217</v>
      </c>
      <c r="D740" s="7">
        <v>6</v>
      </c>
      <c r="E740" s="13">
        <v>1544</v>
      </c>
      <c r="F740" s="13">
        <f t="shared" si="30"/>
        <v>9264</v>
      </c>
      <c r="G740">
        <v>4900</v>
      </c>
      <c r="H740" s="188">
        <f t="shared" si="31"/>
        <v>29400</v>
      </c>
    </row>
    <row r="741" spans="1:8" x14ac:dyDescent="0.25">
      <c r="A741" s="6" t="s">
        <v>294</v>
      </c>
      <c r="B741" s="6" t="s">
        <v>295</v>
      </c>
      <c r="C741" s="6" t="s">
        <v>217</v>
      </c>
      <c r="D741" s="7">
        <v>3</v>
      </c>
      <c r="E741" s="13">
        <v>1544</v>
      </c>
      <c r="F741" s="13">
        <f t="shared" si="30"/>
        <v>4632</v>
      </c>
      <c r="G741">
        <v>4900</v>
      </c>
      <c r="H741" s="188">
        <f t="shared" si="31"/>
        <v>14700</v>
      </c>
    </row>
    <row r="742" spans="1:8" x14ac:dyDescent="0.25">
      <c r="A742" s="6" t="s">
        <v>296</v>
      </c>
      <c r="B742" s="6" t="s">
        <v>297</v>
      </c>
      <c r="C742" s="6" t="s">
        <v>217</v>
      </c>
      <c r="D742" s="7">
        <v>8</v>
      </c>
      <c r="E742" s="13">
        <v>1544</v>
      </c>
      <c r="F742" s="13">
        <f t="shared" si="30"/>
        <v>12352</v>
      </c>
      <c r="G742">
        <v>4900</v>
      </c>
      <c r="H742" s="188">
        <f t="shared" si="31"/>
        <v>39200</v>
      </c>
    </row>
    <row r="743" spans="1:8" x14ac:dyDescent="0.25">
      <c r="A743" s="6" t="s">
        <v>396</v>
      </c>
      <c r="B743" s="6" t="s">
        <v>397</v>
      </c>
      <c r="C743" s="6" t="s">
        <v>217</v>
      </c>
      <c r="D743" s="7">
        <v>1</v>
      </c>
      <c r="E743" s="13">
        <v>1544</v>
      </c>
      <c r="F743" s="13">
        <f t="shared" si="30"/>
        <v>1544</v>
      </c>
      <c r="G743">
        <v>4900</v>
      </c>
      <c r="H743" s="188">
        <f t="shared" si="31"/>
        <v>4900</v>
      </c>
    </row>
    <row r="744" spans="1:8" x14ac:dyDescent="0.25">
      <c r="A744" s="6" t="s">
        <v>298</v>
      </c>
      <c r="B744" s="6" t="s">
        <v>299</v>
      </c>
      <c r="C744" s="6" t="s">
        <v>217</v>
      </c>
      <c r="D744" s="7">
        <v>13</v>
      </c>
      <c r="E744" s="13">
        <v>1544</v>
      </c>
      <c r="F744" s="13">
        <f t="shared" si="30"/>
        <v>20072</v>
      </c>
      <c r="G744">
        <v>4900</v>
      </c>
      <c r="H744" s="188">
        <f t="shared" si="31"/>
        <v>63700</v>
      </c>
    </row>
    <row r="745" spans="1:8" x14ac:dyDescent="0.25">
      <c r="A745" s="6" t="s">
        <v>300</v>
      </c>
      <c r="B745" s="6" t="s">
        <v>301</v>
      </c>
      <c r="C745" s="6" t="s">
        <v>217</v>
      </c>
      <c r="D745" s="7">
        <v>12</v>
      </c>
      <c r="E745" s="13">
        <v>1544</v>
      </c>
      <c r="F745" s="13">
        <f t="shared" si="30"/>
        <v>18528</v>
      </c>
      <c r="G745">
        <v>4900</v>
      </c>
      <c r="H745" s="188">
        <f t="shared" si="31"/>
        <v>58800</v>
      </c>
    </row>
    <row r="746" spans="1:8" x14ac:dyDescent="0.25">
      <c r="A746" s="6" t="s">
        <v>380</v>
      </c>
      <c r="B746" s="6" t="s">
        <v>381</v>
      </c>
      <c r="C746" s="6" t="s">
        <v>217</v>
      </c>
      <c r="D746" s="7">
        <v>12</v>
      </c>
      <c r="E746" s="13">
        <v>731</v>
      </c>
      <c r="F746" s="13">
        <f t="shared" si="30"/>
        <v>8772</v>
      </c>
      <c r="G746">
        <v>2000</v>
      </c>
      <c r="H746" s="188">
        <f t="shared" si="31"/>
        <v>24000</v>
      </c>
    </row>
    <row r="747" spans="1:8" x14ac:dyDescent="0.25">
      <c r="A747" s="6" t="s">
        <v>302</v>
      </c>
      <c r="B747" s="6" t="s">
        <v>303</v>
      </c>
      <c r="C747" s="6" t="s">
        <v>217</v>
      </c>
      <c r="D747" s="7">
        <v>5</v>
      </c>
      <c r="E747" s="13">
        <v>2977</v>
      </c>
      <c r="F747" s="13">
        <f t="shared" si="30"/>
        <v>14885</v>
      </c>
      <c r="G747">
        <v>5800</v>
      </c>
      <c r="H747" s="188">
        <f t="shared" si="31"/>
        <v>29000</v>
      </c>
    </row>
    <row r="748" spans="1:8" x14ac:dyDescent="0.25">
      <c r="A748" s="6" t="s">
        <v>304</v>
      </c>
      <c r="B748" s="6" t="s">
        <v>305</v>
      </c>
      <c r="C748" s="6" t="s">
        <v>217</v>
      </c>
      <c r="D748" s="7">
        <v>5</v>
      </c>
      <c r="E748" s="13">
        <v>2977</v>
      </c>
      <c r="F748" s="13">
        <f t="shared" si="30"/>
        <v>14885</v>
      </c>
      <c r="G748">
        <v>5800</v>
      </c>
      <c r="H748" s="188">
        <f t="shared" si="31"/>
        <v>29000</v>
      </c>
    </row>
    <row r="749" spans="1:8" x14ac:dyDescent="0.25">
      <c r="A749" s="6" t="s">
        <v>306</v>
      </c>
      <c r="B749" s="6" t="s">
        <v>307</v>
      </c>
      <c r="C749" s="6" t="s">
        <v>217</v>
      </c>
      <c r="D749" s="7">
        <v>7</v>
      </c>
      <c r="E749" s="13">
        <v>2977</v>
      </c>
      <c r="F749" s="13">
        <f t="shared" si="30"/>
        <v>20839</v>
      </c>
      <c r="G749">
        <v>5800</v>
      </c>
      <c r="H749" s="188">
        <f t="shared" si="31"/>
        <v>40600</v>
      </c>
    </row>
    <row r="750" spans="1:8" x14ac:dyDescent="0.25">
      <c r="A750" s="6" t="s">
        <v>308</v>
      </c>
      <c r="B750" s="6" t="s">
        <v>309</v>
      </c>
      <c r="C750" s="6" t="s">
        <v>217</v>
      </c>
      <c r="D750" s="7">
        <v>4</v>
      </c>
      <c r="E750" s="13">
        <v>2977</v>
      </c>
      <c r="F750" s="13">
        <f t="shared" si="30"/>
        <v>11908</v>
      </c>
      <c r="G750">
        <v>5800</v>
      </c>
      <c r="H750" s="188">
        <f t="shared" si="31"/>
        <v>23200</v>
      </c>
    </row>
    <row r="751" spans="1:8" x14ac:dyDescent="0.25">
      <c r="A751" s="6" t="s">
        <v>310</v>
      </c>
      <c r="B751" s="6" t="s">
        <v>311</v>
      </c>
      <c r="C751" s="6" t="s">
        <v>217</v>
      </c>
      <c r="D751" s="7">
        <v>4</v>
      </c>
      <c r="E751" s="13">
        <v>2977</v>
      </c>
      <c r="F751" s="13">
        <f t="shared" si="30"/>
        <v>11908</v>
      </c>
      <c r="G751">
        <v>5800</v>
      </c>
      <c r="H751" s="188">
        <f t="shared" si="31"/>
        <v>23200</v>
      </c>
    </row>
    <row r="752" spans="1:8" x14ac:dyDescent="0.25">
      <c r="A752" s="6" t="s">
        <v>312</v>
      </c>
      <c r="B752" s="6" t="s">
        <v>313</v>
      </c>
      <c r="C752" s="6" t="s">
        <v>217</v>
      </c>
      <c r="D752" s="7">
        <v>5</v>
      </c>
      <c r="E752" s="13">
        <v>2977</v>
      </c>
      <c r="F752" s="13">
        <f t="shared" si="30"/>
        <v>14885</v>
      </c>
      <c r="G752">
        <v>5800</v>
      </c>
      <c r="H752" s="188">
        <f t="shared" si="31"/>
        <v>29000</v>
      </c>
    </row>
    <row r="753" spans="1:8" x14ac:dyDescent="0.25">
      <c r="A753" s="6" t="s">
        <v>314</v>
      </c>
      <c r="B753" s="6" t="s">
        <v>315</v>
      </c>
      <c r="C753" s="6" t="s">
        <v>217</v>
      </c>
      <c r="D753" s="7">
        <v>10</v>
      </c>
      <c r="E753" s="13">
        <v>2977</v>
      </c>
      <c r="F753" s="13">
        <f t="shared" si="30"/>
        <v>29770</v>
      </c>
      <c r="G753">
        <v>5800</v>
      </c>
      <c r="H753" s="188">
        <f t="shared" si="31"/>
        <v>58000</v>
      </c>
    </row>
    <row r="754" spans="1:8" x14ac:dyDescent="0.25">
      <c r="A754" s="6" t="s">
        <v>316</v>
      </c>
      <c r="B754" s="6" t="s">
        <v>317</v>
      </c>
      <c r="C754" s="6" t="s">
        <v>217</v>
      </c>
      <c r="D754" s="7">
        <v>5</v>
      </c>
      <c r="E754" s="13">
        <v>2977</v>
      </c>
      <c r="F754" s="13">
        <f t="shared" si="30"/>
        <v>14885</v>
      </c>
      <c r="G754">
        <v>5800</v>
      </c>
      <c r="H754" s="188">
        <f t="shared" si="31"/>
        <v>29000</v>
      </c>
    </row>
    <row r="755" spans="1:8" x14ac:dyDescent="0.25">
      <c r="A755" s="6" t="s">
        <v>318</v>
      </c>
      <c r="B755" s="6" t="s">
        <v>319</v>
      </c>
      <c r="C755" s="6" t="s">
        <v>217</v>
      </c>
      <c r="D755" s="7">
        <v>4</v>
      </c>
      <c r="E755" s="13">
        <v>2977</v>
      </c>
      <c r="F755" s="13">
        <f t="shared" si="30"/>
        <v>11908</v>
      </c>
      <c r="G755">
        <v>5800</v>
      </c>
      <c r="H755" s="188">
        <f t="shared" si="31"/>
        <v>23200</v>
      </c>
    </row>
    <row r="756" spans="1:8" x14ac:dyDescent="0.25">
      <c r="A756" s="6" t="s">
        <v>320</v>
      </c>
      <c r="B756" s="6" t="s">
        <v>321</v>
      </c>
      <c r="C756" s="6" t="s">
        <v>217</v>
      </c>
      <c r="D756" s="7">
        <v>8</v>
      </c>
      <c r="E756" s="13">
        <v>2977</v>
      </c>
      <c r="F756" s="13">
        <f t="shared" si="30"/>
        <v>23816</v>
      </c>
      <c r="G756">
        <v>5800</v>
      </c>
      <c r="H756" s="188">
        <f t="shared" si="31"/>
        <v>46400</v>
      </c>
    </row>
    <row r="757" spans="1:8" x14ac:dyDescent="0.25">
      <c r="A757" s="6" t="s">
        <v>398</v>
      </c>
      <c r="B757" s="6" t="s">
        <v>399</v>
      </c>
      <c r="C757" s="6" t="s">
        <v>217</v>
      </c>
      <c r="D757" s="7">
        <v>1</v>
      </c>
      <c r="E757" s="13">
        <v>2977</v>
      </c>
      <c r="F757" s="13">
        <f t="shared" si="30"/>
        <v>2977</v>
      </c>
      <c r="G757">
        <v>5800</v>
      </c>
      <c r="H757" s="188">
        <f t="shared" si="31"/>
        <v>5800</v>
      </c>
    </row>
    <row r="758" spans="1:8" x14ac:dyDescent="0.25">
      <c r="A758" s="6" t="s">
        <v>322</v>
      </c>
      <c r="B758" s="6" t="s">
        <v>323</v>
      </c>
      <c r="C758" s="6" t="s">
        <v>217</v>
      </c>
      <c r="D758" s="7">
        <v>6</v>
      </c>
      <c r="E758" s="13">
        <v>2977</v>
      </c>
      <c r="F758" s="13">
        <f t="shared" si="30"/>
        <v>17862</v>
      </c>
      <c r="G758">
        <v>5800</v>
      </c>
      <c r="H758" s="188">
        <f t="shared" si="31"/>
        <v>34800</v>
      </c>
    </row>
    <row r="759" spans="1:8" x14ac:dyDescent="0.25">
      <c r="A759" s="6" t="s">
        <v>324</v>
      </c>
      <c r="B759" s="6" t="s">
        <v>325</v>
      </c>
      <c r="C759" s="6" t="s">
        <v>217</v>
      </c>
      <c r="D759" s="7">
        <v>2</v>
      </c>
      <c r="E759" s="13">
        <v>2977</v>
      </c>
      <c r="F759" s="13">
        <f t="shared" si="30"/>
        <v>5954</v>
      </c>
      <c r="G759">
        <v>5800</v>
      </c>
      <c r="H759" s="188">
        <f t="shared" si="31"/>
        <v>11600</v>
      </c>
    </row>
    <row r="760" spans="1:8" x14ac:dyDescent="0.25">
      <c r="A760" s="6" t="s">
        <v>326</v>
      </c>
      <c r="B760" s="6" t="s">
        <v>327</v>
      </c>
      <c r="C760" s="6" t="s">
        <v>217</v>
      </c>
      <c r="D760" s="7">
        <v>3</v>
      </c>
      <c r="E760" s="13">
        <v>2977</v>
      </c>
      <c r="F760" s="13">
        <f t="shared" si="30"/>
        <v>8931</v>
      </c>
      <c r="G760">
        <v>5800</v>
      </c>
      <c r="H760" s="188">
        <f t="shared" si="31"/>
        <v>17400</v>
      </c>
    </row>
    <row r="761" spans="1:8" x14ac:dyDescent="0.25">
      <c r="A761" s="6" t="s">
        <v>328</v>
      </c>
      <c r="B761" s="6" t="s">
        <v>329</v>
      </c>
      <c r="C761" s="6" t="s">
        <v>217</v>
      </c>
      <c r="D761" s="7">
        <v>3</v>
      </c>
      <c r="E761" s="13">
        <v>2977</v>
      </c>
      <c r="F761" s="13">
        <f t="shared" si="30"/>
        <v>8931</v>
      </c>
      <c r="G761">
        <v>5800</v>
      </c>
      <c r="H761" s="188">
        <f t="shared" si="31"/>
        <v>17400</v>
      </c>
    </row>
    <row r="762" spans="1:8" x14ac:dyDescent="0.25">
      <c r="A762" s="6" t="s">
        <v>364</v>
      </c>
      <c r="B762" s="6" t="s">
        <v>365</v>
      </c>
      <c r="C762" s="6" t="s">
        <v>217</v>
      </c>
      <c r="D762" s="7">
        <v>1</v>
      </c>
      <c r="E762" s="13">
        <v>2977</v>
      </c>
      <c r="F762" s="13">
        <f t="shared" si="30"/>
        <v>2977</v>
      </c>
      <c r="G762">
        <v>6700</v>
      </c>
      <c r="H762" s="188">
        <f t="shared" si="31"/>
        <v>6700</v>
      </c>
    </row>
    <row r="763" spans="1:8" x14ac:dyDescent="0.25">
      <c r="A763" s="6" t="s">
        <v>366</v>
      </c>
      <c r="B763" s="6" t="s">
        <v>367</v>
      </c>
      <c r="C763" s="6" t="s">
        <v>217</v>
      </c>
      <c r="D763" s="7">
        <v>1</v>
      </c>
      <c r="E763" s="13">
        <v>2977</v>
      </c>
      <c r="F763" s="13">
        <f t="shared" si="30"/>
        <v>2977</v>
      </c>
      <c r="G763">
        <v>6700</v>
      </c>
      <c r="H763" s="188">
        <f t="shared" si="31"/>
        <v>6700</v>
      </c>
    </row>
    <row r="764" spans="1:8" x14ac:dyDescent="0.25">
      <c r="A764" s="6" t="s">
        <v>368</v>
      </c>
      <c r="B764" s="6" t="s">
        <v>369</v>
      </c>
      <c r="C764" s="6" t="s">
        <v>217</v>
      </c>
      <c r="D764" s="7">
        <v>8</v>
      </c>
      <c r="E764" s="13">
        <v>1597.7</v>
      </c>
      <c r="F764" s="13">
        <f t="shared" si="30"/>
        <v>12781.6</v>
      </c>
      <c r="G764">
        <v>4100</v>
      </c>
      <c r="H764" s="188">
        <f t="shared" si="31"/>
        <v>32800</v>
      </c>
    </row>
    <row r="765" spans="1:8" x14ac:dyDescent="0.25">
      <c r="A765" s="6" t="s">
        <v>370</v>
      </c>
      <c r="B765" s="6" t="s">
        <v>371</v>
      </c>
      <c r="C765" s="6" t="s">
        <v>217</v>
      </c>
      <c r="D765" s="7">
        <v>7</v>
      </c>
      <c r="E765" s="13">
        <v>731</v>
      </c>
      <c r="F765" s="13">
        <f t="shared" si="30"/>
        <v>5117</v>
      </c>
      <c r="G765">
        <v>2200</v>
      </c>
      <c r="H765" s="188">
        <f t="shared" si="31"/>
        <v>15400</v>
      </c>
    </row>
    <row r="766" spans="1:8" x14ac:dyDescent="0.25">
      <c r="A766" s="6" t="s">
        <v>356</v>
      </c>
      <c r="B766" s="6" t="s">
        <v>357</v>
      </c>
      <c r="C766" s="6" t="s">
        <v>217</v>
      </c>
      <c r="D766" s="7">
        <v>6</v>
      </c>
      <c r="E766" s="13">
        <v>1277</v>
      </c>
      <c r="F766" s="13">
        <f t="shared" ref="F766:F783" si="32">E766*D766</f>
        <v>7662</v>
      </c>
      <c r="G766">
        <v>3200</v>
      </c>
      <c r="H766" s="188">
        <f t="shared" si="31"/>
        <v>19200</v>
      </c>
    </row>
    <row r="767" spans="1:8" x14ac:dyDescent="0.25">
      <c r="A767" s="6" t="s">
        <v>358</v>
      </c>
      <c r="B767" s="6" t="s">
        <v>463</v>
      </c>
      <c r="C767" s="6" t="s">
        <v>217</v>
      </c>
      <c r="D767" s="7">
        <v>1</v>
      </c>
      <c r="E767" s="13">
        <v>1277</v>
      </c>
      <c r="F767" s="13">
        <f t="shared" si="32"/>
        <v>1277</v>
      </c>
      <c r="G767">
        <v>3200</v>
      </c>
      <c r="H767" s="188">
        <f t="shared" si="31"/>
        <v>3200</v>
      </c>
    </row>
    <row r="768" spans="1:8" x14ac:dyDescent="0.25">
      <c r="A768" s="6" t="s">
        <v>372</v>
      </c>
      <c r="B768" s="6" t="s">
        <v>373</v>
      </c>
      <c r="C768" s="6" t="s">
        <v>217</v>
      </c>
      <c r="D768" s="7">
        <v>20</v>
      </c>
      <c r="E768" s="13">
        <v>731</v>
      </c>
      <c r="F768" s="13">
        <f t="shared" si="32"/>
        <v>14620</v>
      </c>
      <c r="G768">
        <v>2000</v>
      </c>
      <c r="H768" s="188">
        <f t="shared" si="31"/>
        <v>40000</v>
      </c>
    </row>
    <row r="769" spans="1:8" x14ac:dyDescent="0.25">
      <c r="A769" s="6" t="s">
        <v>386</v>
      </c>
      <c r="B769" s="6" t="s">
        <v>387</v>
      </c>
      <c r="C769" s="6" t="s">
        <v>217</v>
      </c>
      <c r="D769" s="7">
        <v>9</v>
      </c>
      <c r="E769" s="13">
        <v>1597.7</v>
      </c>
      <c r="F769" s="13">
        <f t="shared" si="32"/>
        <v>14379.300000000001</v>
      </c>
      <c r="G769">
        <v>3800</v>
      </c>
      <c r="H769" s="188">
        <f t="shared" si="31"/>
        <v>34200</v>
      </c>
    </row>
    <row r="770" spans="1:8" x14ac:dyDescent="0.25">
      <c r="A770" s="6" t="s">
        <v>388</v>
      </c>
      <c r="B770" s="6" t="s">
        <v>389</v>
      </c>
      <c r="C770" s="6" t="s">
        <v>217</v>
      </c>
      <c r="D770" s="7">
        <v>4</v>
      </c>
      <c r="E770" s="13">
        <v>2977</v>
      </c>
      <c r="F770" s="13">
        <f t="shared" si="32"/>
        <v>11908</v>
      </c>
      <c r="G770">
        <v>5800</v>
      </c>
      <c r="H770" s="188">
        <f t="shared" si="31"/>
        <v>23200</v>
      </c>
    </row>
    <row r="771" spans="1:8" x14ac:dyDescent="0.25">
      <c r="A771" s="6" t="s">
        <v>390</v>
      </c>
      <c r="B771" s="6" t="s">
        <v>391</v>
      </c>
      <c r="C771" s="6" t="s">
        <v>217</v>
      </c>
      <c r="D771" s="7">
        <v>11</v>
      </c>
      <c r="E771" s="13">
        <v>1544</v>
      </c>
      <c r="F771" s="13">
        <f t="shared" si="32"/>
        <v>16984</v>
      </c>
      <c r="G771">
        <v>4900</v>
      </c>
      <c r="H771" s="188">
        <f t="shared" si="31"/>
        <v>53900</v>
      </c>
    </row>
    <row r="772" spans="1:8" x14ac:dyDescent="0.25">
      <c r="A772" s="6" t="s">
        <v>330</v>
      </c>
      <c r="B772" s="6" t="s">
        <v>331</v>
      </c>
      <c r="C772" s="6" t="s">
        <v>217</v>
      </c>
      <c r="D772" s="7">
        <v>2</v>
      </c>
      <c r="E772" s="13">
        <v>1277</v>
      </c>
      <c r="F772" s="13">
        <f t="shared" si="32"/>
        <v>2554</v>
      </c>
      <c r="G772">
        <v>3200</v>
      </c>
      <c r="H772" s="188">
        <f t="shared" si="31"/>
        <v>6400</v>
      </c>
    </row>
    <row r="773" spans="1:8" x14ac:dyDescent="0.25">
      <c r="A773" s="6" t="s">
        <v>332</v>
      </c>
      <c r="B773" s="6" t="s">
        <v>333</v>
      </c>
      <c r="C773" s="6" t="s">
        <v>217</v>
      </c>
      <c r="D773" s="7">
        <v>2</v>
      </c>
      <c r="E773" s="13">
        <v>1277</v>
      </c>
      <c r="F773" s="13">
        <f t="shared" si="32"/>
        <v>2554</v>
      </c>
      <c r="G773">
        <v>3200</v>
      </c>
      <c r="H773" s="188">
        <f t="shared" si="31"/>
        <v>6400</v>
      </c>
    </row>
    <row r="774" spans="1:8" x14ac:dyDescent="0.25">
      <c r="A774" s="6" t="s">
        <v>334</v>
      </c>
      <c r="B774" s="6" t="s">
        <v>335</v>
      </c>
      <c r="C774" s="6" t="s">
        <v>217</v>
      </c>
      <c r="D774" s="7">
        <v>2</v>
      </c>
      <c r="E774" s="13">
        <v>1277</v>
      </c>
      <c r="F774" s="13">
        <f t="shared" si="32"/>
        <v>2554</v>
      </c>
      <c r="G774">
        <v>3200</v>
      </c>
      <c r="H774" s="188">
        <f t="shared" si="31"/>
        <v>6400</v>
      </c>
    </row>
    <row r="775" spans="1:8" x14ac:dyDescent="0.25">
      <c r="A775" s="6" t="s">
        <v>336</v>
      </c>
      <c r="B775" s="6" t="s">
        <v>337</v>
      </c>
      <c r="C775" s="6" t="s">
        <v>217</v>
      </c>
      <c r="D775" s="7">
        <v>3</v>
      </c>
      <c r="E775" s="13">
        <v>1277</v>
      </c>
      <c r="F775" s="13">
        <f t="shared" si="32"/>
        <v>3831</v>
      </c>
      <c r="G775">
        <v>3200</v>
      </c>
      <c r="H775" s="188">
        <f t="shared" si="31"/>
        <v>9600</v>
      </c>
    </row>
    <row r="776" spans="1:8" x14ac:dyDescent="0.25">
      <c r="A776" s="6" t="s">
        <v>338</v>
      </c>
      <c r="B776" s="6" t="s">
        <v>339</v>
      </c>
      <c r="C776" s="6" t="s">
        <v>217</v>
      </c>
      <c r="D776" s="7">
        <v>10</v>
      </c>
      <c r="E776" s="13">
        <v>731</v>
      </c>
      <c r="F776" s="13">
        <f t="shared" si="32"/>
        <v>7310</v>
      </c>
      <c r="G776">
        <v>2000</v>
      </c>
      <c r="H776" s="188">
        <f t="shared" si="31"/>
        <v>20000</v>
      </c>
    </row>
    <row r="777" spans="1:8" x14ac:dyDescent="0.25">
      <c r="A777" s="6" t="s">
        <v>340</v>
      </c>
      <c r="B777" s="6" t="s">
        <v>341</v>
      </c>
      <c r="C777" s="6" t="s">
        <v>217</v>
      </c>
      <c r="D777" s="7">
        <v>11</v>
      </c>
      <c r="E777" s="13">
        <v>1597.7</v>
      </c>
      <c r="F777" s="13">
        <f t="shared" si="32"/>
        <v>17574.7</v>
      </c>
      <c r="G777">
        <v>3800</v>
      </c>
      <c r="H777" s="188">
        <f t="shared" si="31"/>
        <v>41800</v>
      </c>
    </row>
    <row r="778" spans="1:8" x14ac:dyDescent="0.25">
      <c r="A778" s="6" t="s">
        <v>342</v>
      </c>
      <c r="B778" s="6" t="s">
        <v>343</v>
      </c>
      <c r="C778" s="6" t="s">
        <v>217</v>
      </c>
      <c r="D778" s="7">
        <v>2</v>
      </c>
      <c r="E778" s="13">
        <v>2977</v>
      </c>
      <c r="F778" s="13">
        <f t="shared" si="32"/>
        <v>5954</v>
      </c>
      <c r="G778">
        <v>5800</v>
      </c>
      <c r="H778" s="188">
        <f t="shared" ref="H778:H841" si="33">G778*D778</f>
        <v>11600</v>
      </c>
    </row>
    <row r="779" spans="1:8" x14ac:dyDescent="0.25">
      <c r="A779" s="6" t="s">
        <v>344</v>
      </c>
      <c r="B779" s="6" t="s">
        <v>345</v>
      </c>
      <c r="C779" s="6" t="s">
        <v>217</v>
      </c>
      <c r="D779" s="7">
        <v>25</v>
      </c>
      <c r="E779" s="13">
        <v>832</v>
      </c>
      <c r="F779" s="13">
        <f t="shared" si="32"/>
        <v>20800</v>
      </c>
      <c r="G779">
        <v>2700</v>
      </c>
      <c r="H779" s="188">
        <f t="shared" si="33"/>
        <v>67500</v>
      </c>
    </row>
    <row r="780" spans="1:8" x14ac:dyDescent="0.25">
      <c r="A780" s="6" t="s">
        <v>346</v>
      </c>
      <c r="B780" s="6" t="s">
        <v>347</v>
      </c>
      <c r="C780" s="6" t="s">
        <v>217</v>
      </c>
      <c r="D780" s="7">
        <v>8</v>
      </c>
      <c r="E780" s="13">
        <v>1544</v>
      </c>
      <c r="F780" s="13">
        <f t="shared" si="32"/>
        <v>12352</v>
      </c>
      <c r="G780">
        <v>4900</v>
      </c>
      <c r="H780" s="188">
        <f t="shared" si="33"/>
        <v>39200</v>
      </c>
    </row>
    <row r="781" spans="1:8" x14ac:dyDescent="0.25">
      <c r="A781" s="6" t="s">
        <v>400</v>
      </c>
      <c r="B781" s="6" t="s">
        <v>401</v>
      </c>
      <c r="C781" s="6" t="s">
        <v>217</v>
      </c>
      <c r="D781" s="7">
        <v>1</v>
      </c>
      <c r="E781" s="13">
        <v>1277</v>
      </c>
      <c r="F781" s="13">
        <f t="shared" si="32"/>
        <v>1277</v>
      </c>
      <c r="G781">
        <v>3200</v>
      </c>
      <c r="H781" s="188">
        <f t="shared" si="33"/>
        <v>3200</v>
      </c>
    </row>
    <row r="782" spans="1:8" x14ac:dyDescent="0.25">
      <c r="A782" s="6" t="s">
        <v>374</v>
      </c>
      <c r="B782" s="6" t="s">
        <v>375</v>
      </c>
      <c r="C782" s="6" t="s">
        <v>217</v>
      </c>
      <c r="D782" s="7">
        <v>1</v>
      </c>
      <c r="E782" s="13">
        <v>731</v>
      </c>
      <c r="F782" s="13">
        <f t="shared" si="32"/>
        <v>731</v>
      </c>
      <c r="G782">
        <v>2200</v>
      </c>
      <c r="H782" s="188">
        <f t="shared" si="33"/>
        <v>2200</v>
      </c>
    </row>
    <row r="783" spans="1:8" x14ac:dyDescent="0.25">
      <c r="A783" s="6" t="s">
        <v>376</v>
      </c>
      <c r="B783" s="6" t="s">
        <v>377</v>
      </c>
      <c r="C783" s="6" t="s">
        <v>217</v>
      </c>
      <c r="D783" s="7">
        <v>4</v>
      </c>
      <c r="E783" s="13">
        <v>1597.7</v>
      </c>
      <c r="F783" s="13">
        <f t="shared" si="32"/>
        <v>6390.8</v>
      </c>
      <c r="G783">
        <v>4100</v>
      </c>
      <c r="H783" s="188">
        <f t="shared" si="33"/>
        <v>16400</v>
      </c>
    </row>
    <row r="784" spans="1:8" x14ac:dyDescent="0.25">
      <c r="A784" s="89">
        <v>45778</v>
      </c>
      <c r="B784" s="93"/>
      <c r="C784" s="93"/>
      <c r="D784" s="93"/>
      <c r="E784" s="94"/>
      <c r="F784" s="94"/>
      <c r="H784" s="188">
        <f t="shared" si="33"/>
        <v>0</v>
      </c>
    </row>
    <row r="785" spans="1:8" x14ac:dyDescent="0.25">
      <c r="A785" s="6" t="s">
        <v>215</v>
      </c>
      <c r="B785" s="6" t="s">
        <v>216</v>
      </c>
      <c r="C785" s="6" t="s">
        <v>217</v>
      </c>
      <c r="D785" s="7">
        <v>23</v>
      </c>
      <c r="E785" s="13">
        <v>731</v>
      </c>
      <c r="F785" s="13">
        <f>D785*E785</f>
        <v>16813</v>
      </c>
      <c r="G785">
        <v>2000</v>
      </c>
      <c r="H785" s="188">
        <f t="shared" si="33"/>
        <v>46000</v>
      </c>
    </row>
    <row r="786" spans="1:8" x14ac:dyDescent="0.25">
      <c r="A786" s="6" t="s">
        <v>218</v>
      </c>
      <c r="B786" s="6" t="s">
        <v>219</v>
      </c>
      <c r="C786" s="6" t="s">
        <v>217</v>
      </c>
      <c r="D786" s="7">
        <v>12</v>
      </c>
      <c r="E786" s="13">
        <v>731</v>
      </c>
      <c r="F786" s="13">
        <f t="shared" ref="F786:F849" si="34">D786*E786</f>
        <v>8772</v>
      </c>
      <c r="G786">
        <v>2000</v>
      </c>
      <c r="H786" s="188">
        <f t="shared" si="33"/>
        <v>24000</v>
      </c>
    </row>
    <row r="787" spans="1:8" x14ac:dyDescent="0.25">
      <c r="A787" s="6" t="s">
        <v>220</v>
      </c>
      <c r="B787" s="6" t="s">
        <v>221</v>
      </c>
      <c r="C787" s="6" t="s">
        <v>217</v>
      </c>
      <c r="D787" s="7">
        <v>8</v>
      </c>
      <c r="E787" s="13">
        <v>731</v>
      </c>
      <c r="F787" s="13">
        <f t="shared" si="34"/>
        <v>5848</v>
      </c>
      <c r="G787">
        <v>2000</v>
      </c>
      <c r="H787" s="188">
        <f t="shared" si="33"/>
        <v>16000</v>
      </c>
    </row>
    <row r="788" spans="1:8" x14ac:dyDescent="0.25">
      <c r="A788" s="6" t="s">
        <v>222</v>
      </c>
      <c r="B788" s="6" t="s">
        <v>223</v>
      </c>
      <c r="C788" s="6" t="s">
        <v>217</v>
      </c>
      <c r="D788" s="7">
        <v>19</v>
      </c>
      <c r="E788" s="13">
        <v>731</v>
      </c>
      <c r="F788" s="13">
        <f t="shared" si="34"/>
        <v>13889</v>
      </c>
      <c r="G788">
        <v>2000</v>
      </c>
      <c r="H788" s="188">
        <f t="shared" si="33"/>
        <v>38000</v>
      </c>
    </row>
    <row r="789" spans="1:8" x14ac:dyDescent="0.25">
      <c r="A789" s="6" t="s">
        <v>224</v>
      </c>
      <c r="B789" s="6" t="s">
        <v>225</v>
      </c>
      <c r="C789" s="6" t="s">
        <v>217</v>
      </c>
      <c r="D789" s="7">
        <v>21</v>
      </c>
      <c r="E789" s="13">
        <v>731</v>
      </c>
      <c r="F789" s="13">
        <f t="shared" si="34"/>
        <v>15351</v>
      </c>
      <c r="G789">
        <v>2000</v>
      </c>
      <c r="H789" s="188">
        <f t="shared" si="33"/>
        <v>42000</v>
      </c>
    </row>
    <row r="790" spans="1:8" x14ac:dyDescent="0.25">
      <c r="A790" s="6" t="s">
        <v>226</v>
      </c>
      <c r="B790" s="6" t="s">
        <v>227</v>
      </c>
      <c r="C790" s="6" t="s">
        <v>217</v>
      </c>
      <c r="D790" s="7">
        <v>20</v>
      </c>
      <c r="E790" s="13">
        <v>731</v>
      </c>
      <c r="F790" s="13">
        <f t="shared" si="34"/>
        <v>14620</v>
      </c>
      <c r="G790">
        <v>2000</v>
      </c>
      <c r="H790" s="188">
        <f t="shared" si="33"/>
        <v>40000</v>
      </c>
    </row>
    <row r="791" spans="1:8" x14ac:dyDescent="0.25">
      <c r="A791" s="6" t="s">
        <v>228</v>
      </c>
      <c r="B791" s="6" t="s">
        <v>229</v>
      </c>
      <c r="C791" s="6" t="s">
        <v>217</v>
      </c>
      <c r="D791" s="7">
        <v>17</v>
      </c>
      <c r="E791" s="13">
        <v>731</v>
      </c>
      <c r="F791" s="13">
        <f t="shared" si="34"/>
        <v>12427</v>
      </c>
      <c r="G791">
        <v>2000</v>
      </c>
      <c r="H791" s="188">
        <f t="shared" si="33"/>
        <v>34000</v>
      </c>
    </row>
    <row r="792" spans="1:8" x14ac:dyDescent="0.25">
      <c r="A792" s="6" t="s">
        <v>230</v>
      </c>
      <c r="B792" s="6" t="s">
        <v>231</v>
      </c>
      <c r="C792" s="6" t="s">
        <v>217</v>
      </c>
      <c r="D792" s="7">
        <v>23</v>
      </c>
      <c r="E792" s="13">
        <v>731</v>
      </c>
      <c r="F792" s="13">
        <f t="shared" si="34"/>
        <v>16813</v>
      </c>
      <c r="G792">
        <v>2000</v>
      </c>
      <c r="H792" s="188">
        <f t="shared" si="33"/>
        <v>46000</v>
      </c>
    </row>
    <row r="793" spans="1:8" x14ac:dyDescent="0.25">
      <c r="A793" s="6" t="s">
        <v>232</v>
      </c>
      <c r="B793" s="6" t="s">
        <v>233</v>
      </c>
      <c r="C793" s="6" t="s">
        <v>217</v>
      </c>
      <c r="D793" s="7">
        <v>21</v>
      </c>
      <c r="E793" s="13">
        <v>731</v>
      </c>
      <c r="F793" s="13">
        <f t="shared" si="34"/>
        <v>15351</v>
      </c>
      <c r="G793">
        <v>2000</v>
      </c>
      <c r="H793" s="188">
        <f t="shared" si="33"/>
        <v>42000</v>
      </c>
    </row>
    <row r="794" spans="1:8" x14ac:dyDescent="0.25">
      <c r="A794" s="6" t="s">
        <v>234</v>
      </c>
      <c r="B794" s="6" t="s">
        <v>235</v>
      </c>
      <c r="C794" s="6" t="s">
        <v>217</v>
      </c>
      <c r="D794" s="7">
        <v>15</v>
      </c>
      <c r="E794" s="13">
        <v>731</v>
      </c>
      <c r="F794" s="13">
        <f t="shared" si="34"/>
        <v>10965</v>
      </c>
      <c r="G794">
        <v>2000</v>
      </c>
      <c r="H794" s="188">
        <f t="shared" si="33"/>
        <v>30000</v>
      </c>
    </row>
    <row r="795" spans="1:8" x14ac:dyDescent="0.25">
      <c r="A795" s="6" t="s">
        <v>236</v>
      </c>
      <c r="B795" s="6" t="s">
        <v>237</v>
      </c>
      <c r="C795" s="6" t="s">
        <v>217</v>
      </c>
      <c r="D795" s="7">
        <v>29</v>
      </c>
      <c r="E795" s="13">
        <v>731</v>
      </c>
      <c r="F795" s="13">
        <f t="shared" si="34"/>
        <v>21199</v>
      </c>
      <c r="G795">
        <v>2000</v>
      </c>
      <c r="H795" s="188">
        <f t="shared" si="33"/>
        <v>58000</v>
      </c>
    </row>
    <row r="796" spans="1:8" x14ac:dyDescent="0.25">
      <c r="A796" s="6" t="s">
        <v>238</v>
      </c>
      <c r="B796" s="6" t="s">
        <v>239</v>
      </c>
      <c r="C796" s="6" t="s">
        <v>217</v>
      </c>
      <c r="D796" s="7">
        <v>15</v>
      </c>
      <c r="E796" s="13">
        <v>731</v>
      </c>
      <c r="F796" s="13">
        <f t="shared" si="34"/>
        <v>10965</v>
      </c>
      <c r="G796">
        <v>2000</v>
      </c>
      <c r="H796" s="188">
        <f t="shared" si="33"/>
        <v>30000</v>
      </c>
    </row>
    <row r="797" spans="1:8" x14ac:dyDescent="0.25">
      <c r="A797" s="6" t="s">
        <v>240</v>
      </c>
      <c r="B797" s="6" t="s">
        <v>241</v>
      </c>
      <c r="C797" s="6" t="s">
        <v>217</v>
      </c>
      <c r="D797" s="7">
        <v>16</v>
      </c>
      <c r="E797" s="13">
        <v>731</v>
      </c>
      <c r="F797" s="13">
        <f t="shared" si="34"/>
        <v>11696</v>
      </c>
      <c r="G797">
        <v>2000</v>
      </c>
      <c r="H797" s="188">
        <f t="shared" si="33"/>
        <v>32000</v>
      </c>
    </row>
    <row r="798" spans="1:8" x14ac:dyDescent="0.25">
      <c r="A798" s="6" t="s">
        <v>242</v>
      </c>
      <c r="B798" s="6" t="s">
        <v>243</v>
      </c>
      <c r="C798" s="6" t="s">
        <v>217</v>
      </c>
      <c r="D798" s="7">
        <v>23</v>
      </c>
      <c r="E798" s="13">
        <v>731</v>
      </c>
      <c r="F798" s="13">
        <f t="shared" si="34"/>
        <v>16813</v>
      </c>
      <c r="G798">
        <v>2000</v>
      </c>
      <c r="H798" s="188">
        <f t="shared" si="33"/>
        <v>46000</v>
      </c>
    </row>
    <row r="799" spans="1:8" x14ac:dyDescent="0.25">
      <c r="A799" s="6" t="s">
        <v>244</v>
      </c>
      <c r="B799" s="6" t="s">
        <v>245</v>
      </c>
      <c r="C799" s="6" t="s">
        <v>217</v>
      </c>
      <c r="D799" s="7">
        <v>10</v>
      </c>
      <c r="E799" s="13">
        <v>1597.7</v>
      </c>
      <c r="F799" s="13">
        <f t="shared" si="34"/>
        <v>15977</v>
      </c>
      <c r="G799">
        <v>3800</v>
      </c>
      <c r="H799" s="188">
        <f t="shared" si="33"/>
        <v>38000</v>
      </c>
    </row>
    <row r="800" spans="1:8" x14ac:dyDescent="0.25">
      <c r="A800" s="6" t="s">
        <v>246</v>
      </c>
      <c r="B800" s="6" t="s">
        <v>247</v>
      </c>
      <c r="C800" s="6" t="s">
        <v>217</v>
      </c>
      <c r="D800" s="7">
        <v>15</v>
      </c>
      <c r="E800" s="13">
        <v>1597.7</v>
      </c>
      <c r="F800" s="13">
        <f t="shared" si="34"/>
        <v>23965.5</v>
      </c>
      <c r="G800">
        <v>3800</v>
      </c>
      <c r="H800" s="188">
        <f t="shared" si="33"/>
        <v>57000</v>
      </c>
    </row>
    <row r="801" spans="1:8" x14ac:dyDescent="0.25">
      <c r="A801" s="6" t="s">
        <v>248</v>
      </c>
      <c r="B801" s="6" t="s">
        <v>249</v>
      </c>
      <c r="C801" s="6" t="s">
        <v>217</v>
      </c>
      <c r="D801" s="7">
        <v>11</v>
      </c>
      <c r="E801" s="13">
        <v>1597.7</v>
      </c>
      <c r="F801" s="13">
        <f t="shared" si="34"/>
        <v>17574.7</v>
      </c>
      <c r="G801">
        <v>3800</v>
      </c>
      <c r="H801" s="188">
        <f t="shared" si="33"/>
        <v>41800</v>
      </c>
    </row>
    <row r="802" spans="1:8" x14ac:dyDescent="0.25">
      <c r="A802" s="6" t="s">
        <v>250</v>
      </c>
      <c r="B802" s="6" t="s">
        <v>251</v>
      </c>
      <c r="C802" s="6" t="s">
        <v>217</v>
      </c>
      <c r="D802" s="7">
        <v>17</v>
      </c>
      <c r="E802" s="13">
        <v>1597.7</v>
      </c>
      <c r="F802" s="13">
        <f t="shared" si="34"/>
        <v>27160.9</v>
      </c>
      <c r="G802">
        <v>3800</v>
      </c>
      <c r="H802" s="188">
        <f t="shared" si="33"/>
        <v>64600</v>
      </c>
    </row>
    <row r="803" spans="1:8" x14ac:dyDescent="0.25">
      <c r="A803" s="6" t="s">
        <v>252</v>
      </c>
      <c r="B803" s="6" t="s">
        <v>253</v>
      </c>
      <c r="C803" s="6" t="s">
        <v>217</v>
      </c>
      <c r="D803" s="7">
        <v>21</v>
      </c>
      <c r="E803" s="13">
        <v>1597.7</v>
      </c>
      <c r="F803" s="13">
        <f t="shared" si="34"/>
        <v>33551.700000000004</v>
      </c>
      <c r="G803">
        <v>3800</v>
      </c>
      <c r="H803" s="188">
        <f t="shared" si="33"/>
        <v>79800</v>
      </c>
    </row>
    <row r="804" spans="1:8" x14ac:dyDescent="0.25">
      <c r="A804" s="6" t="s">
        <v>254</v>
      </c>
      <c r="B804" s="6" t="s">
        <v>255</v>
      </c>
      <c r="C804" s="6" t="s">
        <v>217</v>
      </c>
      <c r="D804" s="7">
        <v>14</v>
      </c>
      <c r="E804" s="13">
        <v>1597.7</v>
      </c>
      <c r="F804" s="13">
        <f t="shared" si="34"/>
        <v>22367.8</v>
      </c>
      <c r="G804">
        <v>3800</v>
      </c>
      <c r="H804" s="188">
        <f t="shared" si="33"/>
        <v>53200</v>
      </c>
    </row>
    <row r="805" spans="1:8" x14ac:dyDescent="0.25">
      <c r="A805" s="6" t="s">
        <v>256</v>
      </c>
      <c r="B805" s="6" t="s">
        <v>257</v>
      </c>
      <c r="C805" s="6" t="s">
        <v>217</v>
      </c>
      <c r="D805" s="7">
        <v>22</v>
      </c>
      <c r="E805" s="13">
        <v>1597.7</v>
      </c>
      <c r="F805" s="13">
        <f t="shared" si="34"/>
        <v>35149.4</v>
      </c>
      <c r="G805">
        <v>3800</v>
      </c>
      <c r="H805" s="188">
        <f t="shared" si="33"/>
        <v>83600</v>
      </c>
    </row>
    <row r="806" spans="1:8" x14ac:dyDescent="0.25">
      <c r="A806" s="6" t="s">
        <v>258</v>
      </c>
      <c r="B806" s="6" t="s">
        <v>259</v>
      </c>
      <c r="C806" s="6" t="s">
        <v>217</v>
      </c>
      <c r="D806" s="7">
        <v>22</v>
      </c>
      <c r="E806" s="13">
        <v>1597.7</v>
      </c>
      <c r="F806" s="13">
        <f t="shared" si="34"/>
        <v>35149.4</v>
      </c>
      <c r="G806">
        <v>3800</v>
      </c>
      <c r="H806" s="188">
        <f t="shared" si="33"/>
        <v>83600</v>
      </c>
    </row>
    <row r="807" spans="1:8" x14ac:dyDescent="0.25">
      <c r="A807" s="6" t="s">
        <v>260</v>
      </c>
      <c r="B807" s="6" t="s">
        <v>261</v>
      </c>
      <c r="C807" s="6" t="s">
        <v>217</v>
      </c>
      <c r="D807" s="7">
        <v>13</v>
      </c>
      <c r="E807" s="13">
        <v>1597.7</v>
      </c>
      <c r="F807" s="13">
        <f t="shared" si="34"/>
        <v>20770.100000000002</v>
      </c>
      <c r="G807">
        <v>3800</v>
      </c>
      <c r="H807" s="188">
        <f t="shared" si="33"/>
        <v>49400</v>
      </c>
    </row>
    <row r="808" spans="1:8" x14ac:dyDescent="0.25">
      <c r="A808" s="6" t="s">
        <v>262</v>
      </c>
      <c r="B808" s="6" t="s">
        <v>263</v>
      </c>
      <c r="C808" s="6" t="s">
        <v>217</v>
      </c>
      <c r="D808" s="7">
        <v>13</v>
      </c>
      <c r="E808" s="13">
        <v>1597.7</v>
      </c>
      <c r="F808" s="13">
        <f t="shared" si="34"/>
        <v>20770.100000000002</v>
      </c>
      <c r="G808">
        <v>3800</v>
      </c>
      <c r="H808" s="188">
        <f t="shared" si="33"/>
        <v>49400</v>
      </c>
    </row>
    <row r="809" spans="1:8" x14ac:dyDescent="0.25">
      <c r="A809" s="6" t="s">
        <v>264</v>
      </c>
      <c r="B809" s="6" t="s">
        <v>265</v>
      </c>
      <c r="C809" s="6" t="s">
        <v>217</v>
      </c>
      <c r="D809" s="7">
        <v>20</v>
      </c>
      <c r="E809" s="13">
        <v>1597.7</v>
      </c>
      <c r="F809" s="13">
        <f t="shared" si="34"/>
        <v>31954</v>
      </c>
      <c r="G809">
        <v>3800</v>
      </c>
      <c r="H809" s="188">
        <f t="shared" si="33"/>
        <v>76000</v>
      </c>
    </row>
    <row r="810" spans="1:8" x14ac:dyDescent="0.25">
      <c r="A810" s="6" t="s">
        <v>266</v>
      </c>
      <c r="B810" s="6" t="s">
        <v>267</v>
      </c>
      <c r="C810" s="6" t="s">
        <v>217</v>
      </c>
      <c r="D810" s="7">
        <v>13</v>
      </c>
      <c r="E810" s="13">
        <v>1597.7</v>
      </c>
      <c r="F810" s="13">
        <f t="shared" si="34"/>
        <v>20770.100000000002</v>
      </c>
      <c r="G810">
        <v>3800</v>
      </c>
      <c r="H810" s="188">
        <f t="shared" si="33"/>
        <v>49400</v>
      </c>
    </row>
    <row r="811" spans="1:8" x14ac:dyDescent="0.25">
      <c r="A811" s="6" t="s">
        <v>268</v>
      </c>
      <c r="B811" s="6" t="s">
        <v>269</v>
      </c>
      <c r="C811" s="6" t="s">
        <v>217</v>
      </c>
      <c r="D811" s="7">
        <v>1</v>
      </c>
      <c r="E811" s="13">
        <v>1597.7</v>
      </c>
      <c r="F811" s="13">
        <f t="shared" si="34"/>
        <v>1597.7</v>
      </c>
      <c r="G811">
        <v>3800</v>
      </c>
      <c r="H811" s="188">
        <f t="shared" si="33"/>
        <v>3800</v>
      </c>
    </row>
    <row r="812" spans="1:8" x14ac:dyDescent="0.25">
      <c r="A812" s="6" t="s">
        <v>270</v>
      </c>
      <c r="B812" s="6" t="s">
        <v>271</v>
      </c>
      <c r="C812" s="6" t="s">
        <v>217</v>
      </c>
      <c r="D812" s="7">
        <v>8</v>
      </c>
      <c r="E812" s="13">
        <v>1597.7</v>
      </c>
      <c r="F812" s="13">
        <f t="shared" si="34"/>
        <v>12781.6</v>
      </c>
      <c r="G812">
        <v>3800</v>
      </c>
      <c r="H812" s="188">
        <f t="shared" si="33"/>
        <v>30400</v>
      </c>
    </row>
    <row r="813" spans="1:8" x14ac:dyDescent="0.25">
      <c r="A813" s="6" t="s">
        <v>272</v>
      </c>
      <c r="B813" s="6" t="s">
        <v>273</v>
      </c>
      <c r="C813" s="6" t="s">
        <v>217</v>
      </c>
      <c r="D813" s="7">
        <v>11</v>
      </c>
      <c r="E813" s="13">
        <v>832</v>
      </c>
      <c r="F813" s="13">
        <f t="shared" si="34"/>
        <v>9152</v>
      </c>
      <c r="G813">
        <v>2700</v>
      </c>
      <c r="H813" s="188">
        <f t="shared" si="33"/>
        <v>29700</v>
      </c>
    </row>
    <row r="814" spans="1:8" x14ac:dyDescent="0.25">
      <c r="A814" s="6" t="s">
        <v>274</v>
      </c>
      <c r="B814" s="6" t="s">
        <v>275</v>
      </c>
      <c r="C814" s="6" t="s">
        <v>217</v>
      </c>
      <c r="D814" s="7">
        <v>11</v>
      </c>
      <c r="E814" s="13">
        <v>832</v>
      </c>
      <c r="F814" s="13">
        <f t="shared" si="34"/>
        <v>9152</v>
      </c>
      <c r="G814">
        <v>2700</v>
      </c>
      <c r="H814" s="188">
        <f t="shared" si="33"/>
        <v>29700</v>
      </c>
    </row>
    <row r="815" spans="1:8" x14ac:dyDescent="0.25">
      <c r="A815" s="6" t="s">
        <v>276</v>
      </c>
      <c r="B815" s="6" t="s">
        <v>277</v>
      </c>
      <c r="C815" s="6" t="s">
        <v>217</v>
      </c>
      <c r="D815" s="7">
        <v>17</v>
      </c>
      <c r="E815" s="13">
        <v>832</v>
      </c>
      <c r="F815" s="13">
        <f t="shared" si="34"/>
        <v>14144</v>
      </c>
      <c r="G815">
        <v>2700</v>
      </c>
      <c r="H815" s="188">
        <f t="shared" si="33"/>
        <v>45900</v>
      </c>
    </row>
    <row r="816" spans="1:8" x14ac:dyDescent="0.25">
      <c r="A816" s="6" t="s">
        <v>278</v>
      </c>
      <c r="B816" s="6" t="s">
        <v>279</v>
      </c>
      <c r="C816" s="6" t="s">
        <v>217</v>
      </c>
      <c r="D816" s="7">
        <v>10</v>
      </c>
      <c r="E816" s="13">
        <v>832</v>
      </c>
      <c r="F816" s="13">
        <f t="shared" si="34"/>
        <v>8320</v>
      </c>
      <c r="G816">
        <v>2700</v>
      </c>
      <c r="H816" s="188">
        <f t="shared" si="33"/>
        <v>27000</v>
      </c>
    </row>
    <row r="817" spans="1:8" x14ac:dyDescent="0.25">
      <c r="A817" s="6" t="s">
        <v>280</v>
      </c>
      <c r="B817" s="6" t="s">
        <v>281</v>
      </c>
      <c r="C817" s="6" t="s">
        <v>217</v>
      </c>
      <c r="D817" s="7">
        <v>6</v>
      </c>
      <c r="E817" s="13">
        <v>832</v>
      </c>
      <c r="F817" s="13">
        <f t="shared" si="34"/>
        <v>4992</v>
      </c>
      <c r="G817">
        <v>2700</v>
      </c>
      <c r="H817" s="188">
        <f t="shared" si="33"/>
        <v>16200</v>
      </c>
    </row>
    <row r="818" spans="1:8" x14ac:dyDescent="0.25">
      <c r="A818" s="6" t="s">
        <v>282</v>
      </c>
      <c r="B818" s="6" t="s">
        <v>283</v>
      </c>
      <c r="C818" s="6" t="s">
        <v>217</v>
      </c>
      <c r="D818" s="7">
        <v>10</v>
      </c>
      <c r="E818" s="13">
        <v>832</v>
      </c>
      <c r="F818" s="13">
        <f t="shared" si="34"/>
        <v>8320</v>
      </c>
      <c r="G818">
        <v>2700</v>
      </c>
      <c r="H818" s="188">
        <f t="shared" si="33"/>
        <v>27000</v>
      </c>
    </row>
    <row r="819" spans="1:8" x14ac:dyDescent="0.25">
      <c r="A819" s="6" t="s">
        <v>284</v>
      </c>
      <c r="B819" s="6" t="s">
        <v>285</v>
      </c>
      <c r="C819" s="6" t="s">
        <v>217</v>
      </c>
      <c r="D819" s="7">
        <v>10</v>
      </c>
      <c r="E819" s="13">
        <v>832</v>
      </c>
      <c r="F819" s="13">
        <f t="shared" si="34"/>
        <v>8320</v>
      </c>
      <c r="G819">
        <v>2700</v>
      </c>
      <c r="H819" s="188">
        <f t="shared" si="33"/>
        <v>27000</v>
      </c>
    </row>
    <row r="820" spans="1:8" x14ac:dyDescent="0.25">
      <c r="A820" s="6" t="s">
        <v>286</v>
      </c>
      <c r="B820" s="6" t="s">
        <v>287</v>
      </c>
      <c r="C820" s="6" t="s">
        <v>217</v>
      </c>
      <c r="D820" s="7">
        <v>14</v>
      </c>
      <c r="E820" s="13">
        <v>832</v>
      </c>
      <c r="F820" s="13">
        <f t="shared" si="34"/>
        <v>11648</v>
      </c>
      <c r="G820">
        <v>2700</v>
      </c>
      <c r="H820" s="188">
        <f t="shared" si="33"/>
        <v>37800</v>
      </c>
    </row>
    <row r="821" spans="1:8" x14ac:dyDescent="0.25">
      <c r="A821" s="6" t="s">
        <v>288</v>
      </c>
      <c r="B821" s="6" t="s">
        <v>289</v>
      </c>
      <c r="C821" s="6" t="s">
        <v>217</v>
      </c>
      <c r="D821" s="7">
        <v>7</v>
      </c>
      <c r="E821" s="13">
        <v>1544</v>
      </c>
      <c r="F821" s="13">
        <f t="shared" si="34"/>
        <v>10808</v>
      </c>
      <c r="G821">
        <v>4900</v>
      </c>
      <c r="H821" s="188">
        <f t="shared" si="33"/>
        <v>34300</v>
      </c>
    </row>
    <row r="822" spans="1:8" x14ac:dyDescent="0.25">
      <c r="A822" s="6" t="s">
        <v>290</v>
      </c>
      <c r="B822" s="6" t="s">
        <v>291</v>
      </c>
      <c r="C822" s="6" t="s">
        <v>217</v>
      </c>
      <c r="D822" s="7">
        <v>5</v>
      </c>
      <c r="E822" s="13">
        <v>1544</v>
      </c>
      <c r="F822" s="13">
        <f t="shared" si="34"/>
        <v>7720</v>
      </c>
      <c r="G822">
        <v>4900</v>
      </c>
      <c r="H822" s="188">
        <f t="shared" si="33"/>
        <v>24500</v>
      </c>
    </row>
    <row r="823" spans="1:8" x14ac:dyDescent="0.25">
      <c r="A823" s="6" t="s">
        <v>292</v>
      </c>
      <c r="B823" s="6" t="s">
        <v>293</v>
      </c>
      <c r="C823" s="6" t="s">
        <v>217</v>
      </c>
      <c r="D823" s="7">
        <v>2</v>
      </c>
      <c r="E823" s="13">
        <v>1544</v>
      </c>
      <c r="F823" s="13">
        <f t="shared" si="34"/>
        <v>3088</v>
      </c>
      <c r="G823">
        <v>4900</v>
      </c>
      <c r="H823" s="188">
        <f t="shared" si="33"/>
        <v>9800</v>
      </c>
    </row>
    <row r="824" spans="1:8" x14ac:dyDescent="0.25">
      <c r="A824" s="6" t="s">
        <v>294</v>
      </c>
      <c r="B824" s="6" t="s">
        <v>295</v>
      </c>
      <c r="C824" s="6" t="s">
        <v>217</v>
      </c>
      <c r="D824" s="7">
        <v>5</v>
      </c>
      <c r="E824" s="13">
        <v>1544</v>
      </c>
      <c r="F824" s="13">
        <f t="shared" si="34"/>
        <v>7720</v>
      </c>
      <c r="G824">
        <v>4900</v>
      </c>
      <c r="H824" s="188">
        <f t="shared" si="33"/>
        <v>24500</v>
      </c>
    </row>
    <row r="825" spans="1:8" x14ac:dyDescent="0.25">
      <c r="A825" s="6" t="s">
        <v>296</v>
      </c>
      <c r="B825" s="6" t="s">
        <v>297</v>
      </c>
      <c r="C825" s="6" t="s">
        <v>217</v>
      </c>
      <c r="D825" s="7">
        <v>11</v>
      </c>
      <c r="E825" s="13">
        <v>1544</v>
      </c>
      <c r="F825" s="13">
        <f t="shared" si="34"/>
        <v>16984</v>
      </c>
      <c r="G825">
        <v>4900</v>
      </c>
      <c r="H825" s="188">
        <f t="shared" si="33"/>
        <v>53900</v>
      </c>
    </row>
    <row r="826" spans="1:8" x14ac:dyDescent="0.25">
      <c r="A826" s="6" t="s">
        <v>396</v>
      </c>
      <c r="B826" s="6" t="s">
        <v>397</v>
      </c>
      <c r="C826" s="6" t="s">
        <v>217</v>
      </c>
      <c r="D826" s="7">
        <v>4</v>
      </c>
      <c r="E826" s="13">
        <v>1544</v>
      </c>
      <c r="F826" s="13">
        <f t="shared" si="34"/>
        <v>6176</v>
      </c>
      <c r="G826">
        <v>4900</v>
      </c>
      <c r="H826" s="188">
        <f t="shared" si="33"/>
        <v>19600</v>
      </c>
    </row>
    <row r="827" spans="1:8" x14ac:dyDescent="0.25">
      <c r="A827" s="6" t="s">
        <v>298</v>
      </c>
      <c r="B827" s="6" t="s">
        <v>299</v>
      </c>
      <c r="C827" s="6" t="s">
        <v>217</v>
      </c>
      <c r="D827" s="7">
        <v>9</v>
      </c>
      <c r="E827" s="13">
        <v>1544</v>
      </c>
      <c r="F827" s="13">
        <f t="shared" si="34"/>
        <v>13896</v>
      </c>
      <c r="G827">
        <v>4900</v>
      </c>
      <c r="H827" s="188">
        <f t="shared" si="33"/>
        <v>44100</v>
      </c>
    </row>
    <row r="828" spans="1:8" x14ac:dyDescent="0.25">
      <c r="A828" s="6" t="s">
        <v>300</v>
      </c>
      <c r="B828" s="6" t="s">
        <v>301</v>
      </c>
      <c r="C828" s="6" t="s">
        <v>217</v>
      </c>
      <c r="D828" s="7">
        <v>8</v>
      </c>
      <c r="E828" s="13">
        <v>1544</v>
      </c>
      <c r="F828" s="13">
        <f t="shared" si="34"/>
        <v>12352</v>
      </c>
      <c r="G828">
        <v>4900</v>
      </c>
      <c r="H828" s="188">
        <f t="shared" si="33"/>
        <v>39200</v>
      </c>
    </row>
    <row r="829" spans="1:8" x14ac:dyDescent="0.25">
      <c r="A829" s="6" t="s">
        <v>362</v>
      </c>
      <c r="B829" s="6" t="s">
        <v>363</v>
      </c>
      <c r="C829" s="6" t="s">
        <v>217</v>
      </c>
      <c r="D829" s="7">
        <v>22</v>
      </c>
      <c r="E829" s="13">
        <v>1597.7</v>
      </c>
      <c r="F829" s="13">
        <f t="shared" si="34"/>
        <v>35149.4</v>
      </c>
      <c r="G829">
        <v>3800</v>
      </c>
      <c r="H829" s="188">
        <f t="shared" si="33"/>
        <v>83600</v>
      </c>
    </row>
    <row r="830" spans="1:8" x14ac:dyDescent="0.25">
      <c r="A830" s="6" t="s">
        <v>302</v>
      </c>
      <c r="B830" s="6" t="s">
        <v>303</v>
      </c>
      <c r="C830" s="6" t="s">
        <v>217</v>
      </c>
      <c r="D830" s="7">
        <v>3</v>
      </c>
      <c r="E830" s="13">
        <v>2977</v>
      </c>
      <c r="F830" s="13">
        <f t="shared" si="34"/>
        <v>8931</v>
      </c>
      <c r="G830">
        <v>5800</v>
      </c>
      <c r="H830" s="188">
        <f t="shared" si="33"/>
        <v>17400</v>
      </c>
    </row>
    <row r="831" spans="1:8" x14ac:dyDescent="0.25">
      <c r="A831" s="6" t="s">
        <v>304</v>
      </c>
      <c r="B831" s="6" t="s">
        <v>305</v>
      </c>
      <c r="C831" s="6" t="s">
        <v>217</v>
      </c>
      <c r="D831" s="7">
        <v>6</v>
      </c>
      <c r="E831" s="13">
        <v>2977</v>
      </c>
      <c r="F831" s="13">
        <f t="shared" si="34"/>
        <v>17862</v>
      </c>
      <c r="G831">
        <v>5800</v>
      </c>
      <c r="H831" s="188">
        <f t="shared" si="33"/>
        <v>34800</v>
      </c>
    </row>
    <row r="832" spans="1:8" x14ac:dyDescent="0.25">
      <c r="A832" s="6" t="s">
        <v>308</v>
      </c>
      <c r="B832" s="6" t="s">
        <v>309</v>
      </c>
      <c r="C832" s="6" t="s">
        <v>217</v>
      </c>
      <c r="D832" s="7">
        <v>3</v>
      </c>
      <c r="E832" s="13">
        <v>2977</v>
      </c>
      <c r="F832" s="13">
        <f t="shared" si="34"/>
        <v>8931</v>
      </c>
      <c r="G832">
        <v>5800</v>
      </c>
      <c r="H832" s="188">
        <f t="shared" si="33"/>
        <v>17400</v>
      </c>
    </row>
    <row r="833" spans="1:8" x14ac:dyDescent="0.25">
      <c r="A833" s="6" t="s">
        <v>310</v>
      </c>
      <c r="B833" s="6" t="s">
        <v>311</v>
      </c>
      <c r="C833" s="6" t="s">
        <v>217</v>
      </c>
      <c r="D833" s="7">
        <v>4</v>
      </c>
      <c r="E833" s="13">
        <v>2977</v>
      </c>
      <c r="F833" s="13">
        <f t="shared" si="34"/>
        <v>11908</v>
      </c>
      <c r="G833">
        <v>5800</v>
      </c>
      <c r="H833" s="188">
        <f t="shared" si="33"/>
        <v>23200</v>
      </c>
    </row>
    <row r="834" spans="1:8" x14ac:dyDescent="0.25">
      <c r="A834" s="6" t="s">
        <v>312</v>
      </c>
      <c r="B834" s="6" t="s">
        <v>313</v>
      </c>
      <c r="C834" s="6" t="s">
        <v>217</v>
      </c>
      <c r="D834" s="7">
        <v>7</v>
      </c>
      <c r="E834" s="13">
        <v>2977</v>
      </c>
      <c r="F834" s="13">
        <f t="shared" si="34"/>
        <v>20839</v>
      </c>
      <c r="G834">
        <v>5800</v>
      </c>
      <c r="H834" s="188">
        <f t="shared" si="33"/>
        <v>40600</v>
      </c>
    </row>
    <row r="835" spans="1:8" x14ac:dyDescent="0.25">
      <c r="A835" s="6" t="s">
        <v>314</v>
      </c>
      <c r="B835" s="6" t="s">
        <v>315</v>
      </c>
      <c r="C835" s="6" t="s">
        <v>217</v>
      </c>
      <c r="D835" s="7">
        <v>2</v>
      </c>
      <c r="E835" s="13">
        <v>2977</v>
      </c>
      <c r="F835" s="13">
        <f t="shared" si="34"/>
        <v>5954</v>
      </c>
      <c r="G835">
        <v>5800</v>
      </c>
      <c r="H835" s="188">
        <f t="shared" si="33"/>
        <v>11600</v>
      </c>
    </row>
    <row r="836" spans="1:8" x14ac:dyDescent="0.25">
      <c r="A836" s="6" t="s">
        <v>316</v>
      </c>
      <c r="B836" s="6" t="s">
        <v>317</v>
      </c>
      <c r="C836" s="6" t="s">
        <v>217</v>
      </c>
      <c r="D836" s="7">
        <v>4</v>
      </c>
      <c r="E836" s="13">
        <v>2977</v>
      </c>
      <c r="F836" s="13">
        <f t="shared" si="34"/>
        <v>11908</v>
      </c>
      <c r="G836">
        <v>5800</v>
      </c>
      <c r="H836" s="188">
        <f t="shared" si="33"/>
        <v>23200</v>
      </c>
    </row>
    <row r="837" spans="1:8" x14ac:dyDescent="0.25">
      <c r="A837" s="6" t="s">
        <v>318</v>
      </c>
      <c r="B837" s="6" t="s">
        <v>319</v>
      </c>
      <c r="C837" s="6" t="s">
        <v>217</v>
      </c>
      <c r="D837" s="7">
        <v>3</v>
      </c>
      <c r="E837" s="13">
        <v>2977</v>
      </c>
      <c r="F837" s="13">
        <f t="shared" si="34"/>
        <v>8931</v>
      </c>
      <c r="G837">
        <v>5800</v>
      </c>
      <c r="H837" s="188">
        <f t="shared" si="33"/>
        <v>17400</v>
      </c>
    </row>
    <row r="838" spans="1:8" x14ac:dyDescent="0.25">
      <c r="A838" s="6" t="s">
        <v>320</v>
      </c>
      <c r="B838" s="6" t="s">
        <v>321</v>
      </c>
      <c r="C838" s="6" t="s">
        <v>217</v>
      </c>
      <c r="D838" s="7">
        <v>1</v>
      </c>
      <c r="E838" s="13">
        <v>2977</v>
      </c>
      <c r="F838" s="13">
        <f t="shared" si="34"/>
        <v>2977</v>
      </c>
      <c r="G838">
        <v>5800</v>
      </c>
      <c r="H838" s="188">
        <f t="shared" si="33"/>
        <v>5800</v>
      </c>
    </row>
    <row r="839" spans="1:8" x14ac:dyDescent="0.25">
      <c r="A839" s="6" t="s">
        <v>322</v>
      </c>
      <c r="B839" s="6" t="s">
        <v>323</v>
      </c>
      <c r="C839" s="6" t="s">
        <v>217</v>
      </c>
      <c r="D839" s="7">
        <v>3</v>
      </c>
      <c r="E839" s="13">
        <v>2977</v>
      </c>
      <c r="F839" s="13">
        <f t="shared" si="34"/>
        <v>8931</v>
      </c>
      <c r="G839">
        <v>5800</v>
      </c>
      <c r="H839" s="188">
        <f t="shared" si="33"/>
        <v>17400</v>
      </c>
    </row>
    <row r="840" spans="1:8" x14ac:dyDescent="0.25">
      <c r="A840" s="6" t="s">
        <v>324</v>
      </c>
      <c r="B840" s="6" t="s">
        <v>325</v>
      </c>
      <c r="C840" s="6" t="s">
        <v>217</v>
      </c>
      <c r="D840" s="7">
        <v>4</v>
      </c>
      <c r="E840" s="13">
        <v>2977</v>
      </c>
      <c r="F840" s="13">
        <f t="shared" si="34"/>
        <v>11908</v>
      </c>
      <c r="G840">
        <v>5800</v>
      </c>
      <c r="H840" s="188">
        <f t="shared" si="33"/>
        <v>23200</v>
      </c>
    </row>
    <row r="841" spans="1:8" x14ac:dyDescent="0.25">
      <c r="A841" s="6" t="s">
        <v>326</v>
      </c>
      <c r="B841" s="6" t="s">
        <v>327</v>
      </c>
      <c r="C841" s="6" t="s">
        <v>217</v>
      </c>
      <c r="D841" s="7">
        <v>1</v>
      </c>
      <c r="E841" s="13">
        <v>2977</v>
      </c>
      <c r="F841" s="13">
        <f t="shared" si="34"/>
        <v>2977</v>
      </c>
      <c r="G841">
        <v>5800</v>
      </c>
      <c r="H841" s="188">
        <f t="shared" si="33"/>
        <v>5800</v>
      </c>
    </row>
    <row r="842" spans="1:8" x14ac:dyDescent="0.25">
      <c r="A842" s="6" t="s">
        <v>328</v>
      </c>
      <c r="B842" s="6" t="s">
        <v>329</v>
      </c>
      <c r="C842" s="6" t="s">
        <v>217</v>
      </c>
      <c r="D842" s="7">
        <v>2</v>
      </c>
      <c r="E842" s="13">
        <v>2977</v>
      </c>
      <c r="F842" s="13">
        <f t="shared" si="34"/>
        <v>5954</v>
      </c>
      <c r="G842">
        <v>5800</v>
      </c>
      <c r="H842" s="188">
        <f t="shared" ref="H842:H905" si="35">G842*D842</f>
        <v>11600</v>
      </c>
    </row>
    <row r="843" spans="1:8" x14ac:dyDescent="0.25">
      <c r="A843" s="6" t="s">
        <v>364</v>
      </c>
      <c r="B843" s="6" t="s">
        <v>365</v>
      </c>
      <c r="C843" s="6" t="s">
        <v>217</v>
      </c>
      <c r="D843" s="7">
        <v>3</v>
      </c>
      <c r="E843" s="13">
        <v>2977</v>
      </c>
      <c r="F843" s="13">
        <f t="shared" si="34"/>
        <v>8931</v>
      </c>
      <c r="G843">
        <v>6700</v>
      </c>
      <c r="H843" s="188">
        <f t="shared" si="35"/>
        <v>20100</v>
      </c>
    </row>
    <row r="844" spans="1:8" x14ac:dyDescent="0.25">
      <c r="A844" s="6" t="s">
        <v>366</v>
      </c>
      <c r="B844" s="6" t="s">
        <v>367</v>
      </c>
      <c r="C844" s="6" t="s">
        <v>217</v>
      </c>
      <c r="D844" s="7">
        <v>2</v>
      </c>
      <c r="E844" s="13">
        <v>2977</v>
      </c>
      <c r="F844" s="13">
        <f t="shared" si="34"/>
        <v>5954</v>
      </c>
      <c r="G844">
        <v>6700</v>
      </c>
      <c r="H844" s="188">
        <f t="shared" si="35"/>
        <v>13400</v>
      </c>
    </row>
    <row r="845" spans="1:8" x14ac:dyDescent="0.25">
      <c r="A845" s="6" t="s">
        <v>368</v>
      </c>
      <c r="B845" s="6" t="s">
        <v>369</v>
      </c>
      <c r="C845" s="6" t="s">
        <v>217</v>
      </c>
      <c r="D845" s="7">
        <v>11</v>
      </c>
      <c r="E845" s="13">
        <v>1597.7</v>
      </c>
      <c r="F845" s="13">
        <f t="shared" si="34"/>
        <v>17574.7</v>
      </c>
      <c r="G845">
        <v>4100</v>
      </c>
      <c r="H845" s="188">
        <f t="shared" si="35"/>
        <v>45100</v>
      </c>
    </row>
    <row r="846" spans="1:8" x14ac:dyDescent="0.25">
      <c r="A846" s="6" t="s">
        <v>370</v>
      </c>
      <c r="B846" s="6" t="s">
        <v>371</v>
      </c>
      <c r="C846" s="6" t="s">
        <v>217</v>
      </c>
      <c r="D846" s="7">
        <v>12</v>
      </c>
      <c r="E846" s="13">
        <v>731</v>
      </c>
      <c r="F846" s="13">
        <f t="shared" si="34"/>
        <v>8772</v>
      </c>
      <c r="G846">
        <v>2200</v>
      </c>
      <c r="H846" s="188">
        <f t="shared" si="35"/>
        <v>26400</v>
      </c>
    </row>
    <row r="847" spans="1:8" x14ac:dyDescent="0.25">
      <c r="A847" s="6" t="s">
        <v>356</v>
      </c>
      <c r="B847" s="6" t="s">
        <v>357</v>
      </c>
      <c r="C847" s="6" t="s">
        <v>217</v>
      </c>
      <c r="D847" s="7">
        <v>1</v>
      </c>
      <c r="E847" s="13">
        <v>1277</v>
      </c>
      <c r="F847" s="13">
        <f t="shared" si="34"/>
        <v>1277</v>
      </c>
      <c r="G847">
        <v>3200</v>
      </c>
      <c r="H847" s="188">
        <f t="shared" si="35"/>
        <v>3200</v>
      </c>
    </row>
    <row r="848" spans="1:8" x14ac:dyDescent="0.25">
      <c r="A848" s="6" t="s">
        <v>382</v>
      </c>
      <c r="B848" s="6" t="s">
        <v>383</v>
      </c>
      <c r="C848" s="6" t="s">
        <v>217</v>
      </c>
      <c r="D848" s="7">
        <v>395</v>
      </c>
      <c r="E848" s="13">
        <v>832</v>
      </c>
      <c r="F848" s="13">
        <f t="shared" si="34"/>
        <v>328640</v>
      </c>
      <c r="G848">
        <v>2700</v>
      </c>
      <c r="H848" s="188">
        <f t="shared" si="35"/>
        <v>1066500</v>
      </c>
    </row>
    <row r="849" spans="1:8" x14ac:dyDescent="0.25">
      <c r="A849" s="6" t="s">
        <v>372</v>
      </c>
      <c r="B849" s="6" t="s">
        <v>373</v>
      </c>
      <c r="C849" s="6" t="s">
        <v>217</v>
      </c>
      <c r="D849" s="7">
        <v>34</v>
      </c>
      <c r="E849" s="13">
        <v>731</v>
      </c>
      <c r="F849" s="13">
        <f t="shared" si="34"/>
        <v>24854</v>
      </c>
      <c r="G849">
        <v>2000</v>
      </c>
      <c r="H849" s="188">
        <f t="shared" si="35"/>
        <v>68000</v>
      </c>
    </row>
    <row r="850" spans="1:8" x14ac:dyDescent="0.25">
      <c r="A850" s="6" t="s">
        <v>388</v>
      </c>
      <c r="B850" s="6" t="s">
        <v>389</v>
      </c>
      <c r="C850" s="6" t="s">
        <v>217</v>
      </c>
      <c r="D850" s="7">
        <v>3</v>
      </c>
      <c r="E850" s="13">
        <v>2977</v>
      </c>
      <c r="F850" s="13">
        <f t="shared" ref="F850:F877" si="36">D850*E850</f>
        <v>8931</v>
      </c>
      <c r="G850">
        <v>5800</v>
      </c>
      <c r="H850" s="188">
        <f t="shared" si="35"/>
        <v>17400</v>
      </c>
    </row>
    <row r="851" spans="1:8" x14ac:dyDescent="0.25">
      <c r="A851" s="6" t="s">
        <v>390</v>
      </c>
      <c r="B851" s="6" t="s">
        <v>391</v>
      </c>
      <c r="C851" s="6" t="s">
        <v>217</v>
      </c>
      <c r="D851" s="7">
        <v>26</v>
      </c>
      <c r="E851" s="13">
        <v>1544</v>
      </c>
      <c r="F851" s="13">
        <f t="shared" si="36"/>
        <v>40144</v>
      </c>
      <c r="G851">
        <v>4900</v>
      </c>
      <c r="H851" s="188">
        <f t="shared" si="35"/>
        <v>127400</v>
      </c>
    </row>
    <row r="852" spans="1:8" x14ac:dyDescent="0.25">
      <c r="A852" s="6" t="s">
        <v>330</v>
      </c>
      <c r="B852" s="6" t="s">
        <v>331</v>
      </c>
      <c r="C852" s="6" t="s">
        <v>217</v>
      </c>
      <c r="D852" s="7">
        <v>1</v>
      </c>
      <c r="E852" s="13">
        <v>1277</v>
      </c>
      <c r="F852" s="13">
        <f t="shared" si="36"/>
        <v>1277</v>
      </c>
      <c r="G852">
        <v>3200</v>
      </c>
      <c r="H852" s="188">
        <f t="shared" si="35"/>
        <v>3200</v>
      </c>
    </row>
    <row r="853" spans="1:8" x14ac:dyDescent="0.25">
      <c r="A853" s="6" t="s">
        <v>332</v>
      </c>
      <c r="B853" s="6" t="s">
        <v>333</v>
      </c>
      <c r="C853" s="6" t="s">
        <v>217</v>
      </c>
      <c r="D853" s="7">
        <v>2</v>
      </c>
      <c r="E853" s="13">
        <v>1277</v>
      </c>
      <c r="F853" s="13">
        <f t="shared" si="36"/>
        <v>2554</v>
      </c>
      <c r="G853">
        <v>3200</v>
      </c>
      <c r="H853" s="188">
        <f t="shared" si="35"/>
        <v>6400</v>
      </c>
    </row>
    <row r="854" spans="1:8" x14ac:dyDescent="0.25">
      <c r="A854" s="6" t="s">
        <v>336</v>
      </c>
      <c r="B854" s="6" t="s">
        <v>337</v>
      </c>
      <c r="C854" s="6" t="s">
        <v>217</v>
      </c>
      <c r="D854" s="7">
        <v>4</v>
      </c>
      <c r="E854" s="13">
        <v>1277</v>
      </c>
      <c r="F854" s="13">
        <f t="shared" si="36"/>
        <v>5108</v>
      </c>
      <c r="G854">
        <v>3200</v>
      </c>
      <c r="H854" s="188">
        <f t="shared" si="35"/>
        <v>12800</v>
      </c>
    </row>
    <row r="855" spans="1:8" x14ac:dyDescent="0.25">
      <c r="A855" s="6" t="s">
        <v>338</v>
      </c>
      <c r="B855" s="6" t="s">
        <v>339</v>
      </c>
      <c r="C855" s="6" t="s">
        <v>217</v>
      </c>
      <c r="D855" s="7">
        <v>12</v>
      </c>
      <c r="E855" s="13">
        <v>731</v>
      </c>
      <c r="F855" s="13">
        <f t="shared" si="36"/>
        <v>8772</v>
      </c>
      <c r="G855">
        <v>2000</v>
      </c>
      <c r="H855" s="188">
        <f t="shared" si="35"/>
        <v>24000</v>
      </c>
    </row>
    <row r="856" spans="1:8" x14ac:dyDescent="0.25">
      <c r="A856" s="6" t="s">
        <v>340</v>
      </c>
      <c r="B856" s="6" t="s">
        <v>341</v>
      </c>
      <c r="C856" s="6" t="s">
        <v>217</v>
      </c>
      <c r="D856" s="7">
        <v>5</v>
      </c>
      <c r="E856" s="13">
        <v>1597.7</v>
      </c>
      <c r="F856" s="13">
        <f t="shared" si="36"/>
        <v>7988.5</v>
      </c>
      <c r="G856">
        <v>3800</v>
      </c>
      <c r="H856" s="188">
        <f t="shared" si="35"/>
        <v>19000</v>
      </c>
    </row>
    <row r="857" spans="1:8" x14ac:dyDescent="0.25">
      <c r="A857" s="6" t="s">
        <v>342</v>
      </c>
      <c r="B857" s="6" t="s">
        <v>343</v>
      </c>
      <c r="C857" s="6" t="s">
        <v>217</v>
      </c>
      <c r="D857" s="7">
        <v>6</v>
      </c>
      <c r="E857" s="13">
        <v>2977</v>
      </c>
      <c r="F857" s="13">
        <f t="shared" si="36"/>
        <v>17862</v>
      </c>
      <c r="G857">
        <v>5800</v>
      </c>
      <c r="H857" s="188">
        <f t="shared" si="35"/>
        <v>34800</v>
      </c>
    </row>
    <row r="858" spans="1:8" x14ac:dyDescent="0.25">
      <c r="A858" s="6" t="s">
        <v>344</v>
      </c>
      <c r="B858" s="6" t="s">
        <v>345</v>
      </c>
      <c r="C858" s="6" t="s">
        <v>217</v>
      </c>
      <c r="D858" s="7">
        <v>1</v>
      </c>
      <c r="E858" s="13">
        <v>832</v>
      </c>
      <c r="F858" s="13">
        <f t="shared" si="36"/>
        <v>832</v>
      </c>
      <c r="G858">
        <v>2700</v>
      </c>
      <c r="H858" s="188">
        <f t="shared" si="35"/>
        <v>2700</v>
      </c>
    </row>
    <row r="859" spans="1:8" x14ac:dyDescent="0.25">
      <c r="A859" s="6">
        <v>9025</v>
      </c>
      <c r="B859" s="6" t="s">
        <v>464</v>
      </c>
      <c r="C859" s="6" t="s">
        <v>217</v>
      </c>
      <c r="D859" s="7">
        <v>196</v>
      </c>
      <c r="E859" s="13">
        <v>731</v>
      </c>
      <c r="F859" s="13">
        <f t="shared" si="36"/>
        <v>143276</v>
      </c>
      <c r="G859">
        <v>2000</v>
      </c>
      <c r="H859" s="188">
        <f t="shared" si="35"/>
        <v>392000</v>
      </c>
    </row>
    <row r="860" spans="1:8" x14ac:dyDescent="0.25">
      <c r="A860" s="6">
        <v>9026</v>
      </c>
      <c r="B860" s="6" t="s">
        <v>402</v>
      </c>
      <c r="C860" s="6" t="s">
        <v>217</v>
      </c>
      <c r="D860" s="7">
        <v>198</v>
      </c>
      <c r="E860" s="13">
        <v>1597.7</v>
      </c>
      <c r="F860" s="13">
        <f t="shared" si="36"/>
        <v>316344.60000000003</v>
      </c>
      <c r="H860" s="188">
        <f t="shared" si="35"/>
        <v>0</v>
      </c>
    </row>
    <row r="861" spans="1:8" x14ac:dyDescent="0.25">
      <c r="A861" s="6">
        <v>9027</v>
      </c>
      <c r="B861" s="6" t="s">
        <v>403</v>
      </c>
      <c r="C861" s="6" t="s">
        <v>217</v>
      </c>
      <c r="D861" s="7">
        <v>200</v>
      </c>
      <c r="E861" s="13">
        <v>832</v>
      </c>
      <c r="F861" s="13">
        <f t="shared" si="36"/>
        <v>166400</v>
      </c>
      <c r="G861">
        <v>2700</v>
      </c>
      <c r="H861" s="188">
        <f t="shared" si="35"/>
        <v>540000</v>
      </c>
    </row>
    <row r="862" spans="1:8" x14ac:dyDescent="0.25">
      <c r="A862" s="6">
        <v>9028</v>
      </c>
      <c r="B862" s="6" t="s">
        <v>404</v>
      </c>
      <c r="C862" s="6" t="s">
        <v>217</v>
      </c>
      <c r="D862" s="7">
        <v>200</v>
      </c>
      <c r="E862" s="13">
        <v>1544</v>
      </c>
      <c r="F862" s="13">
        <f t="shared" si="36"/>
        <v>308800</v>
      </c>
      <c r="G862">
        <v>4900</v>
      </c>
      <c r="H862" s="188">
        <f t="shared" si="35"/>
        <v>980000</v>
      </c>
    </row>
    <row r="863" spans="1:8" x14ac:dyDescent="0.25">
      <c r="A863" s="6">
        <v>9029</v>
      </c>
      <c r="B863" s="6" t="s">
        <v>467</v>
      </c>
      <c r="C863" s="6" t="s">
        <v>217</v>
      </c>
      <c r="D863" s="7">
        <v>200</v>
      </c>
      <c r="E863" s="13">
        <v>731</v>
      </c>
      <c r="F863" s="13">
        <f t="shared" si="36"/>
        <v>146200</v>
      </c>
      <c r="G863">
        <v>2000</v>
      </c>
      <c r="H863" s="188">
        <f t="shared" si="35"/>
        <v>400000</v>
      </c>
    </row>
    <row r="864" spans="1:8" x14ac:dyDescent="0.25">
      <c r="A864" s="6">
        <v>9030</v>
      </c>
      <c r="B864" s="6" t="s">
        <v>405</v>
      </c>
      <c r="C864" s="6" t="s">
        <v>217</v>
      </c>
      <c r="D864" s="7">
        <v>200</v>
      </c>
      <c r="E864" s="13">
        <v>1597.7</v>
      </c>
      <c r="F864" s="13">
        <f t="shared" si="36"/>
        <v>319540</v>
      </c>
      <c r="H864" s="188">
        <f t="shared" si="35"/>
        <v>0</v>
      </c>
    </row>
    <row r="865" spans="1:8" x14ac:dyDescent="0.25">
      <c r="A865" s="6">
        <v>9031</v>
      </c>
      <c r="B865" s="6" t="s">
        <v>406</v>
      </c>
      <c r="C865" s="6" t="s">
        <v>217</v>
      </c>
      <c r="D865" s="7">
        <v>200</v>
      </c>
      <c r="E865" s="13">
        <v>832</v>
      </c>
      <c r="F865" s="13">
        <f t="shared" si="36"/>
        <v>166400</v>
      </c>
      <c r="G865">
        <v>2700</v>
      </c>
      <c r="H865" s="188">
        <f t="shared" si="35"/>
        <v>540000</v>
      </c>
    </row>
    <row r="866" spans="1:8" x14ac:dyDescent="0.25">
      <c r="A866" s="6">
        <v>9032</v>
      </c>
      <c r="B866" s="6" t="s">
        <v>407</v>
      </c>
      <c r="C866" s="6" t="s">
        <v>217</v>
      </c>
      <c r="D866" s="7">
        <v>200</v>
      </c>
      <c r="E866" s="13">
        <v>1544</v>
      </c>
      <c r="F866" s="13">
        <f t="shared" si="36"/>
        <v>308800</v>
      </c>
      <c r="G866">
        <v>4900</v>
      </c>
      <c r="H866" s="188">
        <f t="shared" si="35"/>
        <v>980000</v>
      </c>
    </row>
    <row r="867" spans="1:8" x14ac:dyDescent="0.25">
      <c r="A867" s="6">
        <v>9033</v>
      </c>
      <c r="B867" s="6" t="s">
        <v>466</v>
      </c>
      <c r="C867" s="6" t="s">
        <v>217</v>
      </c>
      <c r="D867" s="7">
        <v>200</v>
      </c>
      <c r="E867" s="13">
        <v>731</v>
      </c>
      <c r="F867" s="13">
        <f t="shared" si="36"/>
        <v>146200</v>
      </c>
      <c r="G867">
        <v>2000</v>
      </c>
      <c r="H867" s="188">
        <f t="shared" si="35"/>
        <v>400000</v>
      </c>
    </row>
    <row r="868" spans="1:8" x14ac:dyDescent="0.25">
      <c r="A868" s="6">
        <v>9034</v>
      </c>
      <c r="B868" s="6" t="s">
        <v>408</v>
      </c>
      <c r="C868" s="6" t="s">
        <v>217</v>
      </c>
      <c r="D868" s="7">
        <v>200</v>
      </c>
      <c r="E868" s="13">
        <v>1597.7</v>
      </c>
      <c r="F868" s="13">
        <f t="shared" si="36"/>
        <v>319540</v>
      </c>
      <c r="H868" s="188">
        <f t="shared" si="35"/>
        <v>0</v>
      </c>
    </row>
    <row r="869" spans="1:8" x14ac:dyDescent="0.25">
      <c r="A869" s="6">
        <v>9035</v>
      </c>
      <c r="B869" s="6" t="s">
        <v>409</v>
      </c>
      <c r="C869" s="6" t="s">
        <v>217</v>
      </c>
      <c r="D869" s="7">
        <v>200</v>
      </c>
      <c r="E869" s="13">
        <v>832</v>
      </c>
      <c r="F869" s="13">
        <f t="shared" si="36"/>
        <v>166400</v>
      </c>
      <c r="G869">
        <v>2700</v>
      </c>
      <c r="H869" s="188">
        <f t="shared" si="35"/>
        <v>540000</v>
      </c>
    </row>
    <row r="870" spans="1:8" x14ac:dyDescent="0.25">
      <c r="A870" s="6">
        <v>9041</v>
      </c>
      <c r="B870" s="6" t="s">
        <v>410</v>
      </c>
      <c r="C870" s="6" t="s">
        <v>217</v>
      </c>
      <c r="D870" s="7">
        <v>200</v>
      </c>
      <c r="E870" s="13">
        <v>1544</v>
      </c>
      <c r="F870" s="13">
        <f t="shared" si="36"/>
        <v>308800</v>
      </c>
      <c r="G870">
        <v>4900</v>
      </c>
      <c r="H870" s="188">
        <f t="shared" si="35"/>
        <v>980000</v>
      </c>
    </row>
    <row r="871" spans="1:8" x14ac:dyDescent="0.25">
      <c r="A871" s="6">
        <v>9036</v>
      </c>
      <c r="B871" s="6" t="s">
        <v>465</v>
      </c>
      <c r="C871" s="6" t="s">
        <v>217</v>
      </c>
      <c r="D871" s="7">
        <v>199</v>
      </c>
      <c r="E871" s="13">
        <v>731</v>
      </c>
      <c r="F871" s="13">
        <f t="shared" si="36"/>
        <v>145469</v>
      </c>
      <c r="G871">
        <v>2000</v>
      </c>
      <c r="H871" s="188">
        <f t="shared" si="35"/>
        <v>398000</v>
      </c>
    </row>
    <row r="872" spans="1:8" x14ac:dyDescent="0.25">
      <c r="A872" s="6">
        <v>9037</v>
      </c>
      <c r="B872" s="6" t="s">
        <v>411</v>
      </c>
      <c r="C872" s="6" t="s">
        <v>217</v>
      </c>
      <c r="D872" s="7">
        <v>200</v>
      </c>
      <c r="E872" s="13">
        <v>1597.7</v>
      </c>
      <c r="F872" s="13">
        <f t="shared" si="36"/>
        <v>319540</v>
      </c>
      <c r="H872" s="188">
        <f t="shared" si="35"/>
        <v>0</v>
      </c>
    </row>
    <row r="873" spans="1:8" x14ac:dyDescent="0.25">
      <c r="A873" s="6">
        <v>9038</v>
      </c>
      <c r="B873" s="6" t="s">
        <v>412</v>
      </c>
      <c r="C873" s="6" t="s">
        <v>217</v>
      </c>
      <c r="D873" s="7">
        <v>200</v>
      </c>
      <c r="E873" s="13">
        <v>832</v>
      </c>
      <c r="F873" s="13">
        <f t="shared" si="36"/>
        <v>166400</v>
      </c>
      <c r="G873">
        <v>2700</v>
      </c>
      <c r="H873" s="188">
        <f t="shared" si="35"/>
        <v>540000</v>
      </c>
    </row>
    <row r="874" spans="1:8" x14ac:dyDescent="0.25">
      <c r="A874" s="6">
        <v>9039</v>
      </c>
      <c r="B874" s="6" t="s">
        <v>413</v>
      </c>
      <c r="C874" s="6" t="s">
        <v>217</v>
      </c>
      <c r="D874" s="7">
        <v>198</v>
      </c>
      <c r="E874" s="13">
        <v>1544</v>
      </c>
      <c r="F874" s="13">
        <f t="shared" si="36"/>
        <v>305712</v>
      </c>
      <c r="G874">
        <v>4900</v>
      </c>
      <c r="H874" s="188">
        <f t="shared" si="35"/>
        <v>970200</v>
      </c>
    </row>
    <row r="875" spans="1:8" x14ac:dyDescent="0.25">
      <c r="A875" s="6" t="s">
        <v>346</v>
      </c>
      <c r="B875" s="6" t="s">
        <v>347</v>
      </c>
      <c r="C875" s="6" t="s">
        <v>217</v>
      </c>
      <c r="D875" s="7">
        <v>5</v>
      </c>
      <c r="E875" s="13">
        <v>1544</v>
      </c>
      <c r="F875" s="13">
        <f t="shared" si="36"/>
        <v>7720</v>
      </c>
      <c r="G875">
        <v>4900</v>
      </c>
      <c r="H875" s="188">
        <f t="shared" si="35"/>
        <v>24500</v>
      </c>
    </row>
    <row r="876" spans="1:8" x14ac:dyDescent="0.25">
      <c r="A876" s="6" t="s">
        <v>374</v>
      </c>
      <c r="B876" s="6" t="s">
        <v>375</v>
      </c>
      <c r="C876" s="6" t="s">
        <v>217</v>
      </c>
      <c r="D876" s="7">
        <v>4</v>
      </c>
      <c r="E876" s="13">
        <v>731</v>
      </c>
      <c r="F876" s="13">
        <f t="shared" si="36"/>
        <v>2924</v>
      </c>
      <c r="G876">
        <v>2200</v>
      </c>
      <c r="H876" s="188">
        <f t="shared" si="35"/>
        <v>8800</v>
      </c>
    </row>
    <row r="877" spans="1:8" x14ac:dyDescent="0.25">
      <c r="A877" s="6" t="s">
        <v>414</v>
      </c>
      <c r="B877" s="6" t="s">
        <v>462</v>
      </c>
      <c r="C877" s="6" t="s">
        <v>217</v>
      </c>
      <c r="D877" s="7">
        <v>1</v>
      </c>
      <c r="E877" s="13">
        <v>1277</v>
      </c>
      <c r="F877" s="13">
        <f t="shared" si="36"/>
        <v>1277</v>
      </c>
      <c r="G877">
        <v>3200</v>
      </c>
      <c r="H877" s="188">
        <f t="shared" si="35"/>
        <v>3200</v>
      </c>
    </row>
    <row r="878" spans="1:8" x14ac:dyDescent="0.25">
      <c r="A878" s="89">
        <v>45809</v>
      </c>
      <c r="B878" s="93"/>
      <c r="C878" s="93"/>
      <c r="D878" s="93"/>
      <c r="E878" s="94"/>
      <c r="F878" s="94"/>
      <c r="H878" s="188">
        <f t="shared" si="35"/>
        <v>0</v>
      </c>
    </row>
    <row r="879" spans="1:8" x14ac:dyDescent="0.25">
      <c r="A879" s="6" t="s">
        <v>215</v>
      </c>
      <c r="B879" s="6" t="s">
        <v>216</v>
      </c>
      <c r="C879" s="6" t="s">
        <v>217</v>
      </c>
      <c r="D879" s="7">
        <v>7</v>
      </c>
      <c r="E879" s="13">
        <v>731</v>
      </c>
      <c r="F879" s="13">
        <f>D879*E879</f>
        <v>5117</v>
      </c>
      <c r="G879">
        <v>2000</v>
      </c>
      <c r="H879" s="188">
        <f t="shared" si="35"/>
        <v>14000</v>
      </c>
    </row>
    <row r="880" spans="1:8" x14ac:dyDescent="0.25">
      <c r="A880" s="6" t="s">
        <v>218</v>
      </c>
      <c r="B880" s="6" t="s">
        <v>219</v>
      </c>
      <c r="C880" s="6" t="s">
        <v>217</v>
      </c>
      <c r="D880" s="7">
        <v>14</v>
      </c>
      <c r="E880" s="13">
        <v>731</v>
      </c>
      <c r="F880" s="13">
        <f t="shared" ref="F880:F892" si="37">D880*E880</f>
        <v>10234</v>
      </c>
      <c r="G880">
        <v>2000</v>
      </c>
      <c r="H880" s="188">
        <f t="shared" si="35"/>
        <v>28000</v>
      </c>
    </row>
    <row r="881" spans="1:8" x14ac:dyDescent="0.25">
      <c r="A881" s="6" t="s">
        <v>220</v>
      </c>
      <c r="B881" s="6" t="s">
        <v>221</v>
      </c>
      <c r="C881" s="6" t="s">
        <v>217</v>
      </c>
      <c r="D881" s="7">
        <v>8</v>
      </c>
      <c r="E881" s="13">
        <v>731</v>
      </c>
      <c r="F881" s="13">
        <f t="shared" si="37"/>
        <v>5848</v>
      </c>
      <c r="G881">
        <v>2000</v>
      </c>
      <c r="H881" s="188">
        <f t="shared" si="35"/>
        <v>16000</v>
      </c>
    </row>
    <row r="882" spans="1:8" x14ac:dyDescent="0.25">
      <c r="A882" s="6" t="s">
        <v>222</v>
      </c>
      <c r="B882" s="6" t="s">
        <v>223</v>
      </c>
      <c r="C882" s="6" t="s">
        <v>217</v>
      </c>
      <c r="D882" s="7">
        <v>17</v>
      </c>
      <c r="E882" s="13">
        <v>731</v>
      </c>
      <c r="F882" s="13">
        <f t="shared" si="37"/>
        <v>12427</v>
      </c>
      <c r="G882">
        <v>2000</v>
      </c>
      <c r="H882" s="188">
        <f t="shared" si="35"/>
        <v>34000</v>
      </c>
    </row>
    <row r="883" spans="1:8" x14ac:dyDescent="0.25">
      <c r="A883" s="6" t="s">
        <v>224</v>
      </c>
      <c r="B883" s="6" t="s">
        <v>225</v>
      </c>
      <c r="C883" s="6" t="s">
        <v>217</v>
      </c>
      <c r="D883" s="7">
        <v>12</v>
      </c>
      <c r="E883" s="13">
        <v>731</v>
      </c>
      <c r="F883" s="13">
        <f t="shared" si="37"/>
        <v>8772</v>
      </c>
      <c r="G883">
        <v>2000</v>
      </c>
      <c r="H883" s="188">
        <f t="shared" si="35"/>
        <v>24000</v>
      </c>
    </row>
    <row r="884" spans="1:8" x14ac:dyDescent="0.25">
      <c r="A884" s="6" t="s">
        <v>226</v>
      </c>
      <c r="B884" s="6" t="s">
        <v>227</v>
      </c>
      <c r="C884" s="6" t="s">
        <v>217</v>
      </c>
      <c r="D884" s="7">
        <v>14</v>
      </c>
      <c r="E884" s="13">
        <v>731</v>
      </c>
      <c r="F884" s="13">
        <f t="shared" si="37"/>
        <v>10234</v>
      </c>
      <c r="G884">
        <v>2000</v>
      </c>
      <c r="H884" s="188">
        <f t="shared" si="35"/>
        <v>28000</v>
      </c>
    </row>
    <row r="885" spans="1:8" x14ac:dyDescent="0.25">
      <c r="A885" s="6" t="s">
        <v>228</v>
      </c>
      <c r="B885" s="6" t="s">
        <v>229</v>
      </c>
      <c r="C885" s="6" t="s">
        <v>217</v>
      </c>
      <c r="D885" s="7">
        <v>12</v>
      </c>
      <c r="E885" s="13">
        <v>731</v>
      </c>
      <c r="F885" s="13">
        <f t="shared" si="37"/>
        <v>8772</v>
      </c>
      <c r="G885">
        <v>2000</v>
      </c>
      <c r="H885" s="188">
        <f t="shared" si="35"/>
        <v>24000</v>
      </c>
    </row>
    <row r="886" spans="1:8" x14ac:dyDescent="0.25">
      <c r="A886" s="6" t="s">
        <v>230</v>
      </c>
      <c r="B886" s="6" t="s">
        <v>231</v>
      </c>
      <c r="C886" s="6" t="s">
        <v>217</v>
      </c>
      <c r="D886" s="7">
        <v>20</v>
      </c>
      <c r="E886" s="13">
        <v>731</v>
      </c>
      <c r="F886" s="13">
        <f t="shared" si="37"/>
        <v>14620</v>
      </c>
      <c r="G886">
        <v>2000</v>
      </c>
      <c r="H886" s="188">
        <f t="shared" si="35"/>
        <v>40000</v>
      </c>
    </row>
    <row r="887" spans="1:8" x14ac:dyDescent="0.25">
      <c r="A887" s="6" t="s">
        <v>232</v>
      </c>
      <c r="B887" s="6" t="s">
        <v>233</v>
      </c>
      <c r="C887" s="6" t="s">
        <v>217</v>
      </c>
      <c r="D887" s="7">
        <v>11</v>
      </c>
      <c r="E887" s="13">
        <v>731</v>
      </c>
      <c r="F887" s="13">
        <f t="shared" si="37"/>
        <v>8041</v>
      </c>
      <c r="G887">
        <v>2000</v>
      </c>
      <c r="H887" s="188">
        <f t="shared" si="35"/>
        <v>22000</v>
      </c>
    </row>
    <row r="888" spans="1:8" x14ac:dyDescent="0.25">
      <c r="A888" s="6" t="s">
        <v>234</v>
      </c>
      <c r="B888" s="6" t="s">
        <v>235</v>
      </c>
      <c r="C888" s="6" t="s">
        <v>217</v>
      </c>
      <c r="D888" s="7">
        <v>14</v>
      </c>
      <c r="E888" s="13">
        <v>731</v>
      </c>
      <c r="F888" s="13">
        <f t="shared" si="37"/>
        <v>10234</v>
      </c>
      <c r="G888">
        <v>2000</v>
      </c>
      <c r="H888" s="188">
        <f t="shared" si="35"/>
        <v>28000</v>
      </c>
    </row>
    <row r="889" spans="1:8" x14ac:dyDescent="0.25">
      <c r="A889" s="6" t="s">
        <v>236</v>
      </c>
      <c r="B889" s="6" t="s">
        <v>237</v>
      </c>
      <c r="C889" s="6" t="s">
        <v>217</v>
      </c>
      <c r="D889" s="7">
        <v>9</v>
      </c>
      <c r="E889" s="13">
        <v>731</v>
      </c>
      <c r="F889" s="13">
        <f t="shared" si="37"/>
        <v>6579</v>
      </c>
      <c r="G889">
        <v>2000</v>
      </c>
      <c r="H889" s="188">
        <f t="shared" si="35"/>
        <v>18000</v>
      </c>
    </row>
    <row r="890" spans="1:8" x14ac:dyDescent="0.25">
      <c r="A890" s="6" t="s">
        <v>238</v>
      </c>
      <c r="B890" s="6" t="s">
        <v>239</v>
      </c>
      <c r="C890" s="6" t="s">
        <v>217</v>
      </c>
      <c r="D890" s="7">
        <v>17</v>
      </c>
      <c r="E890" s="13">
        <v>731</v>
      </c>
      <c r="F890" s="13">
        <f t="shared" si="37"/>
        <v>12427</v>
      </c>
      <c r="G890">
        <v>2000</v>
      </c>
      <c r="H890" s="188">
        <f t="shared" si="35"/>
        <v>34000</v>
      </c>
    </row>
    <row r="891" spans="1:8" x14ac:dyDescent="0.25">
      <c r="A891" s="6" t="s">
        <v>240</v>
      </c>
      <c r="B891" s="6" t="s">
        <v>241</v>
      </c>
      <c r="C891" s="6" t="s">
        <v>217</v>
      </c>
      <c r="D891" s="7">
        <v>8</v>
      </c>
      <c r="E891" s="13">
        <v>731</v>
      </c>
      <c r="F891" s="13">
        <f t="shared" si="37"/>
        <v>5848</v>
      </c>
      <c r="G891">
        <v>2000</v>
      </c>
      <c r="H891" s="188">
        <f t="shared" si="35"/>
        <v>16000</v>
      </c>
    </row>
    <row r="892" spans="1:8" x14ac:dyDescent="0.25">
      <c r="A892" s="6" t="s">
        <v>242</v>
      </c>
      <c r="B892" s="6" t="s">
        <v>243</v>
      </c>
      <c r="C892" s="6" t="s">
        <v>217</v>
      </c>
      <c r="D892" s="7">
        <v>12</v>
      </c>
      <c r="E892" s="13">
        <v>731</v>
      </c>
      <c r="F892" s="13">
        <f t="shared" si="37"/>
        <v>8772</v>
      </c>
      <c r="G892">
        <v>2000</v>
      </c>
      <c r="H892" s="188">
        <f t="shared" si="35"/>
        <v>24000</v>
      </c>
    </row>
    <row r="893" spans="1:8" x14ac:dyDescent="0.25">
      <c r="A893" s="6" t="s">
        <v>244</v>
      </c>
      <c r="B893" s="6" t="s">
        <v>245</v>
      </c>
      <c r="C893" s="6" t="s">
        <v>217</v>
      </c>
      <c r="D893" s="7">
        <v>11</v>
      </c>
      <c r="E893" s="13">
        <v>1597.7</v>
      </c>
      <c r="F893" s="13">
        <f>E893*D893</f>
        <v>17574.7</v>
      </c>
      <c r="G893">
        <v>3800</v>
      </c>
      <c r="H893" s="188">
        <f t="shared" si="35"/>
        <v>41800</v>
      </c>
    </row>
    <row r="894" spans="1:8" x14ac:dyDescent="0.25">
      <c r="A894" s="6" t="s">
        <v>246</v>
      </c>
      <c r="B894" s="6" t="s">
        <v>247</v>
      </c>
      <c r="C894" s="6" t="s">
        <v>217</v>
      </c>
      <c r="D894" s="7">
        <v>3</v>
      </c>
      <c r="E894" s="13">
        <v>1597.7</v>
      </c>
      <c r="F894" s="13">
        <f t="shared" ref="F894:F906" si="38">E894*D894</f>
        <v>4793.1000000000004</v>
      </c>
      <c r="G894">
        <v>3800</v>
      </c>
      <c r="H894" s="188">
        <f t="shared" si="35"/>
        <v>11400</v>
      </c>
    </row>
    <row r="895" spans="1:8" x14ac:dyDescent="0.25">
      <c r="A895" s="6" t="s">
        <v>248</v>
      </c>
      <c r="B895" s="6" t="s">
        <v>249</v>
      </c>
      <c r="C895" s="6" t="s">
        <v>217</v>
      </c>
      <c r="D895" s="7">
        <v>8</v>
      </c>
      <c r="E895" s="13">
        <v>1597.7</v>
      </c>
      <c r="F895" s="13">
        <f t="shared" si="38"/>
        <v>12781.6</v>
      </c>
      <c r="G895">
        <v>3800</v>
      </c>
      <c r="H895" s="188">
        <f t="shared" si="35"/>
        <v>30400</v>
      </c>
    </row>
    <row r="896" spans="1:8" x14ac:dyDescent="0.25">
      <c r="A896" s="6" t="s">
        <v>250</v>
      </c>
      <c r="B896" s="6" t="s">
        <v>251</v>
      </c>
      <c r="C896" s="6" t="s">
        <v>217</v>
      </c>
      <c r="D896" s="7">
        <v>7</v>
      </c>
      <c r="E896" s="13">
        <v>1597.7</v>
      </c>
      <c r="F896" s="13">
        <f t="shared" si="38"/>
        <v>11183.9</v>
      </c>
      <c r="G896">
        <v>3800</v>
      </c>
      <c r="H896" s="188">
        <f t="shared" si="35"/>
        <v>26600</v>
      </c>
    </row>
    <row r="897" spans="1:8" x14ac:dyDescent="0.25">
      <c r="A897" s="6" t="s">
        <v>252</v>
      </c>
      <c r="B897" s="6" t="s">
        <v>253</v>
      </c>
      <c r="C897" s="6" t="s">
        <v>217</v>
      </c>
      <c r="D897" s="7">
        <v>6</v>
      </c>
      <c r="E897" s="13">
        <v>1597.7</v>
      </c>
      <c r="F897" s="13">
        <f t="shared" si="38"/>
        <v>9586.2000000000007</v>
      </c>
      <c r="G897">
        <v>3800</v>
      </c>
      <c r="H897" s="188">
        <f t="shared" si="35"/>
        <v>22800</v>
      </c>
    </row>
    <row r="898" spans="1:8" x14ac:dyDescent="0.25">
      <c r="A898" s="6" t="s">
        <v>254</v>
      </c>
      <c r="B898" s="6" t="s">
        <v>255</v>
      </c>
      <c r="C898" s="6" t="s">
        <v>217</v>
      </c>
      <c r="D898" s="7">
        <v>11</v>
      </c>
      <c r="E898" s="13">
        <v>1597.7</v>
      </c>
      <c r="F898" s="13">
        <f t="shared" si="38"/>
        <v>17574.7</v>
      </c>
      <c r="G898">
        <v>3800</v>
      </c>
      <c r="H898" s="188">
        <f t="shared" si="35"/>
        <v>41800</v>
      </c>
    </row>
    <row r="899" spans="1:8" x14ac:dyDescent="0.25">
      <c r="A899" s="6" t="s">
        <v>256</v>
      </c>
      <c r="B899" s="6" t="s">
        <v>257</v>
      </c>
      <c r="C899" s="6" t="s">
        <v>217</v>
      </c>
      <c r="D899" s="7">
        <v>16</v>
      </c>
      <c r="E899" s="13">
        <v>1597.7</v>
      </c>
      <c r="F899" s="13">
        <f t="shared" si="38"/>
        <v>25563.200000000001</v>
      </c>
      <c r="G899">
        <v>3800</v>
      </c>
      <c r="H899" s="188">
        <f t="shared" si="35"/>
        <v>60800</v>
      </c>
    </row>
    <row r="900" spans="1:8" x14ac:dyDescent="0.25">
      <c r="A900" s="6" t="s">
        <v>258</v>
      </c>
      <c r="B900" s="6" t="s">
        <v>259</v>
      </c>
      <c r="C900" s="6" t="s">
        <v>217</v>
      </c>
      <c r="D900" s="7">
        <v>10</v>
      </c>
      <c r="E900" s="13">
        <v>1597.7</v>
      </c>
      <c r="F900" s="13">
        <f t="shared" si="38"/>
        <v>15977</v>
      </c>
      <c r="G900">
        <v>3800</v>
      </c>
      <c r="H900" s="188">
        <f t="shared" si="35"/>
        <v>38000</v>
      </c>
    </row>
    <row r="901" spans="1:8" x14ac:dyDescent="0.25">
      <c r="A901" s="6" t="s">
        <v>260</v>
      </c>
      <c r="B901" s="6" t="s">
        <v>261</v>
      </c>
      <c r="C901" s="6" t="s">
        <v>217</v>
      </c>
      <c r="D901" s="7">
        <v>11</v>
      </c>
      <c r="E901" s="13">
        <v>1597.7</v>
      </c>
      <c r="F901" s="13">
        <f t="shared" si="38"/>
        <v>17574.7</v>
      </c>
      <c r="G901">
        <v>3800</v>
      </c>
      <c r="H901" s="188">
        <f t="shared" si="35"/>
        <v>41800</v>
      </c>
    </row>
    <row r="902" spans="1:8" x14ac:dyDescent="0.25">
      <c r="A902" s="6" t="s">
        <v>262</v>
      </c>
      <c r="B902" s="6" t="s">
        <v>263</v>
      </c>
      <c r="C902" s="6" t="s">
        <v>217</v>
      </c>
      <c r="D902" s="7">
        <v>9</v>
      </c>
      <c r="E902" s="13">
        <v>1597.7</v>
      </c>
      <c r="F902" s="13">
        <f t="shared" si="38"/>
        <v>14379.300000000001</v>
      </c>
      <c r="G902">
        <v>3800</v>
      </c>
      <c r="H902" s="188">
        <f t="shared" si="35"/>
        <v>34200</v>
      </c>
    </row>
    <row r="903" spans="1:8" x14ac:dyDescent="0.25">
      <c r="A903" s="6" t="s">
        <v>264</v>
      </c>
      <c r="B903" s="6" t="s">
        <v>265</v>
      </c>
      <c r="C903" s="6" t="s">
        <v>217</v>
      </c>
      <c r="D903" s="7">
        <v>22</v>
      </c>
      <c r="E903" s="13">
        <v>1597.7</v>
      </c>
      <c r="F903" s="13">
        <f t="shared" si="38"/>
        <v>35149.4</v>
      </c>
      <c r="G903">
        <v>3800</v>
      </c>
      <c r="H903" s="188">
        <f t="shared" si="35"/>
        <v>83600</v>
      </c>
    </row>
    <row r="904" spans="1:8" x14ac:dyDescent="0.25">
      <c r="A904" s="6" t="s">
        <v>266</v>
      </c>
      <c r="B904" s="6" t="s">
        <v>267</v>
      </c>
      <c r="C904" s="6" t="s">
        <v>217</v>
      </c>
      <c r="D904" s="7">
        <v>10</v>
      </c>
      <c r="E904" s="13">
        <v>1597.7</v>
      </c>
      <c r="F904" s="13">
        <f t="shared" si="38"/>
        <v>15977</v>
      </c>
      <c r="G904">
        <v>3800</v>
      </c>
      <c r="H904" s="188">
        <f t="shared" si="35"/>
        <v>38000</v>
      </c>
    </row>
    <row r="905" spans="1:8" x14ac:dyDescent="0.25">
      <c r="A905" s="6" t="s">
        <v>268</v>
      </c>
      <c r="B905" s="6" t="s">
        <v>269</v>
      </c>
      <c r="C905" s="6" t="s">
        <v>217</v>
      </c>
      <c r="D905" s="7">
        <v>6</v>
      </c>
      <c r="E905" s="13">
        <v>1597.7</v>
      </c>
      <c r="F905" s="13">
        <f t="shared" si="38"/>
        <v>9586.2000000000007</v>
      </c>
      <c r="G905">
        <v>3800</v>
      </c>
      <c r="H905" s="188">
        <f t="shared" si="35"/>
        <v>22800</v>
      </c>
    </row>
    <row r="906" spans="1:8" x14ac:dyDescent="0.25">
      <c r="A906" s="6" t="s">
        <v>270</v>
      </c>
      <c r="B906" s="6" t="s">
        <v>271</v>
      </c>
      <c r="C906" s="6" t="s">
        <v>217</v>
      </c>
      <c r="D906" s="7">
        <v>16</v>
      </c>
      <c r="E906" s="13">
        <v>1597.7</v>
      </c>
      <c r="F906" s="13">
        <f t="shared" si="38"/>
        <v>25563.200000000001</v>
      </c>
      <c r="G906">
        <v>3800</v>
      </c>
      <c r="H906" s="188">
        <f t="shared" ref="H906:H965" si="39">G906*D906</f>
        <v>60800</v>
      </c>
    </row>
    <row r="907" spans="1:8" x14ac:dyDescent="0.25">
      <c r="A907" s="6" t="s">
        <v>272</v>
      </c>
      <c r="B907" s="6" t="s">
        <v>273</v>
      </c>
      <c r="C907" s="6" t="s">
        <v>217</v>
      </c>
      <c r="D907" s="7">
        <v>21</v>
      </c>
      <c r="E907" s="13">
        <v>832</v>
      </c>
      <c r="F907" s="13">
        <f>D907*E907</f>
        <v>17472</v>
      </c>
      <c r="G907">
        <v>2700</v>
      </c>
      <c r="H907" s="188">
        <f t="shared" si="39"/>
        <v>56700</v>
      </c>
    </row>
    <row r="908" spans="1:8" x14ac:dyDescent="0.25">
      <c r="A908" s="6" t="s">
        <v>274</v>
      </c>
      <c r="B908" s="6" t="s">
        <v>275</v>
      </c>
      <c r="C908" s="6" t="s">
        <v>217</v>
      </c>
      <c r="D908" s="7">
        <v>27</v>
      </c>
      <c r="E908" s="13">
        <v>832</v>
      </c>
      <c r="F908" s="13">
        <f t="shared" ref="F908:F915" si="40">D908*E908</f>
        <v>22464</v>
      </c>
      <c r="G908">
        <v>2700</v>
      </c>
      <c r="H908" s="188">
        <f t="shared" si="39"/>
        <v>72900</v>
      </c>
    </row>
    <row r="909" spans="1:8" x14ac:dyDescent="0.25">
      <c r="A909" s="6" t="s">
        <v>276</v>
      </c>
      <c r="B909" s="6" t="s">
        <v>277</v>
      </c>
      <c r="C909" s="6" t="s">
        <v>217</v>
      </c>
      <c r="D909" s="7">
        <v>29</v>
      </c>
      <c r="E909" s="13">
        <v>832</v>
      </c>
      <c r="F909" s="13">
        <f t="shared" si="40"/>
        <v>24128</v>
      </c>
      <c r="G909">
        <v>2700</v>
      </c>
      <c r="H909" s="188">
        <f t="shared" si="39"/>
        <v>78300</v>
      </c>
    </row>
    <row r="910" spans="1:8" x14ac:dyDescent="0.25">
      <c r="A910" s="6" t="s">
        <v>278</v>
      </c>
      <c r="B910" s="6" t="s">
        <v>279</v>
      </c>
      <c r="C910" s="6" t="s">
        <v>217</v>
      </c>
      <c r="D910" s="7">
        <v>16</v>
      </c>
      <c r="E910" s="13">
        <v>832</v>
      </c>
      <c r="F910" s="13">
        <f t="shared" si="40"/>
        <v>13312</v>
      </c>
      <c r="G910">
        <v>2700</v>
      </c>
      <c r="H910" s="188">
        <f t="shared" si="39"/>
        <v>43200</v>
      </c>
    </row>
    <row r="911" spans="1:8" x14ac:dyDescent="0.25">
      <c r="A911" s="6" t="s">
        <v>415</v>
      </c>
      <c r="B911" s="6" t="s">
        <v>416</v>
      </c>
      <c r="C911" s="6" t="s">
        <v>217</v>
      </c>
      <c r="D911" s="7">
        <v>7</v>
      </c>
      <c r="E911" s="13">
        <v>832</v>
      </c>
      <c r="F911" s="13">
        <f t="shared" si="40"/>
        <v>5824</v>
      </c>
      <c r="G911">
        <v>2700</v>
      </c>
      <c r="H911" s="188">
        <f t="shared" si="39"/>
        <v>18900</v>
      </c>
    </row>
    <row r="912" spans="1:8" x14ac:dyDescent="0.25">
      <c r="A912" s="6" t="s">
        <v>280</v>
      </c>
      <c r="B912" s="6" t="s">
        <v>281</v>
      </c>
      <c r="C912" s="6" t="s">
        <v>217</v>
      </c>
      <c r="D912" s="7">
        <v>25</v>
      </c>
      <c r="E912" s="13">
        <v>832</v>
      </c>
      <c r="F912" s="13">
        <f t="shared" si="40"/>
        <v>20800</v>
      </c>
      <c r="G912">
        <v>2700</v>
      </c>
      <c r="H912" s="188">
        <f t="shared" si="39"/>
        <v>67500</v>
      </c>
    </row>
    <row r="913" spans="1:8" x14ac:dyDescent="0.25">
      <c r="A913" s="6" t="s">
        <v>282</v>
      </c>
      <c r="B913" s="6" t="s">
        <v>283</v>
      </c>
      <c r="C913" s="6" t="s">
        <v>217</v>
      </c>
      <c r="D913" s="7">
        <v>11</v>
      </c>
      <c r="E913" s="13">
        <v>832</v>
      </c>
      <c r="F913" s="13">
        <f t="shared" si="40"/>
        <v>9152</v>
      </c>
      <c r="G913">
        <v>2700</v>
      </c>
      <c r="H913" s="188">
        <f t="shared" si="39"/>
        <v>29700</v>
      </c>
    </row>
    <row r="914" spans="1:8" x14ac:dyDescent="0.25">
      <c r="A914" s="6" t="s">
        <v>284</v>
      </c>
      <c r="B914" s="6" t="s">
        <v>285</v>
      </c>
      <c r="C914" s="6" t="s">
        <v>217</v>
      </c>
      <c r="D914" s="7">
        <v>25</v>
      </c>
      <c r="E914" s="13">
        <v>832</v>
      </c>
      <c r="F914" s="13">
        <f t="shared" si="40"/>
        <v>20800</v>
      </c>
      <c r="G914">
        <v>2700</v>
      </c>
      <c r="H914" s="188">
        <f t="shared" si="39"/>
        <v>67500</v>
      </c>
    </row>
    <row r="915" spans="1:8" x14ac:dyDescent="0.25">
      <c r="A915" s="6" t="s">
        <v>286</v>
      </c>
      <c r="B915" s="6" t="s">
        <v>287</v>
      </c>
      <c r="C915" s="6" t="s">
        <v>217</v>
      </c>
      <c r="D915" s="7">
        <v>22</v>
      </c>
      <c r="E915" s="13">
        <v>832</v>
      </c>
      <c r="F915" s="13">
        <f t="shared" si="40"/>
        <v>18304</v>
      </c>
      <c r="G915">
        <v>2700</v>
      </c>
      <c r="H915" s="188">
        <f t="shared" si="39"/>
        <v>59400</v>
      </c>
    </row>
    <row r="916" spans="1:8" x14ac:dyDescent="0.25">
      <c r="A916" s="6" t="s">
        <v>288</v>
      </c>
      <c r="B916" s="6" t="s">
        <v>289</v>
      </c>
      <c r="C916" s="6" t="s">
        <v>217</v>
      </c>
      <c r="D916" s="7">
        <v>1</v>
      </c>
      <c r="E916" s="13">
        <v>1544</v>
      </c>
      <c r="F916" s="13">
        <f>E916*D916</f>
        <v>1544</v>
      </c>
      <c r="G916">
        <v>4900</v>
      </c>
      <c r="H916" s="188">
        <f t="shared" si="39"/>
        <v>4900</v>
      </c>
    </row>
    <row r="917" spans="1:8" x14ac:dyDescent="0.25">
      <c r="A917" s="6" t="s">
        <v>290</v>
      </c>
      <c r="B917" s="6" t="s">
        <v>291</v>
      </c>
      <c r="C917" s="6" t="s">
        <v>217</v>
      </c>
      <c r="D917" s="7">
        <v>4</v>
      </c>
      <c r="E917" s="13">
        <v>1544</v>
      </c>
      <c r="F917" s="13">
        <f>E917*D917</f>
        <v>6176</v>
      </c>
      <c r="G917">
        <v>4900</v>
      </c>
      <c r="H917" s="188">
        <f t="shared" si="39"/>
        <v>19600</v>
      </c>
    </row>
    <row r="918" spans="1:8" x14ac:dyDescent="0.25">
      <c r="A918" s="6" t="s">
        <v>294</v>
      </c>
      <c r="B918" s="6" t="s">
        <v>295</v>
      </c>
      <c r="C918" s="6" t="s">
        <v>217</v>
      </c>
      <c r="D918" s="7">
        <v>3</v>
      </c>
      <c r="E918" s="13">
        <v>1544</v>
      </c>
      <c r="F918" s="13">
        <f t="shared" ref="F918:F922" si="41">E918*D918</f>
        <v>4632</v>
      </c>
      <c r="G918">
        <v>4900</v>
      </c>
      <c r="H918" s="188">
        <f t="shared" si="39"/>
        <v>14700</v>
      </c>
    </row>
    <row r="919" spans="1:8" x14ac:dyDescent="0.25">
      <c r="A919" s="6" t="s">
        <v>296</v>
      </c>
      <c r="B919" s="6" t="s">
        <v>297</v>
      </c>
      <c r="C919" s="6" t="s">
        <v>217</v>
      </c>
      <c r="D919" s="7">
        <v>6</v>
      </c>
      <c r="E919" s="13">
        <v>1544</v>
      </c>
      <c r="F919" s="13">
        <f t="shared" si="41"/>
        <v>9264</v>
      </c>
      <c r="G919">
        <v>4900</v>
      </c>
      <c r="H919" s="188">
        <f t="shared" si="39"/>
        <v>29400</v>
      </c>
    </row>
    <row r="920" spans="1:8" x14ac:dyDescent="0.25">
      <c r="A920" s="6" t="s">
        <v>396</v>
      </c>
      <c r="B920" s="6" t="s">
        <v>397</v>
      </c>
      <c r="C920" s="6" t="s">
        <v>217</v>
      </c>
      <c r="D920" s="7">
        <v>2</v>
      </c>
      <c r="E920" s="13">
        <v>1544</v>
      </c>
      <c r="F920" s="13">
        <f t="shared" si="41"/>
        <v>3088</v>
      </c>
      <c r="G920">
        <v>4900</v>
      </c>
      <c r="H920" s="188">
        <f t="shared" si="39"/>
        <v>9800</v>
      </c>
    </row>
    <row r="921" spans="1:8" x14ac:dyDescent="0.25">
      <c r="A921" s="6" t="s">
        <v>298</v>
      </c>
      <c r="B921" s="6" t="s">
        <v>299</v>
      </c>
      <c r="C921" s="6" t="s">
        <v>217</v>
      </c>
      <c r="D921" s="7">
        <v>3</v>
      </c>
      <c r="E921" s="13">
        <v>1544</v>
      </c>
      <c r="F921" s="13">
        <f t="shared" si="41"/>
        <v>4632</v>
      </c>
      <c r="G921">
        <v>4900</v>
      </c>
      <c r="H921" s="188">
        <f t="shared" si="39"/>
        <v>14700</v>
      </c>
    </row>
    <row r="922" spans="1:8" x14ac:dyDescent="0.25">
      <c r="A922" s="6" t="s">
        <v>300</v>
      </c>
      <c r="B922" s="6" t="s">
        <v>301</v>
      </c>
      <c r="C922" s="6" t="s">
        <v>217</v>
      </c>
      <c r="D922" s="7">
        <v>6</v>
      </c>
      <c r="E922" s="13">
        <v>1544</v>
      </c>
      <c r="F922" s="13">
        <f t="shared" si="41"/>
        <v>9264</v>
      </c>
      <c r="G922">
        <v>4900</v>
      </c>
      <c r="H922" s="188">
        <f t="shared" si="39"/>
        <v>29400</v>
      </c>
    </row>
    <row r="923" spans="1:8" x14ac:dyDescent="0.25">
      <c r="A923" s="6" t="s">
        <v>362</v>
      </c>
      <c r="B923" s="6" t="s">
        <v>363</v>
      </c>
      <c r="C923" s="6" t="s">
        <v>217</v>
      </c>
      <c r="D923" s="7">
        <v>21</v>
      </c>
      <c r="E923" s="13">
        <v>1597.7</v>
      </c>
      <c r="F923" s="13">
        <f>E923*D923</f>
        <v>33551.700000000004</v>
      </c>
      <c r="G923">
        <v>3800</v>
      </c>
      <c r="H923" s="188">
        <f t="shared" si="39"/>
        <v>79800</v>
      </c>
    </row>
    <row r="924" spans="1:8" x14ac:dyDescent="0.25">
      <c r="A924" s="6" t="s">
        <v>380</v>
      </c>
      <c r="B924" s="6" t="s">
        <v>381</v>
      </c>
      <c r="C924" s="6" t="s">
        <v>217</v>
      </c>
      <c r="D924" s="7">
        <v>48</v>
      </c>
      <c r="E924" s="13">
        <v>731</v>
      </c>
      <c r="F924" s="13">
        <f>D924*E924</f>
        <v>35088</v>
      </c>
      <c r="G924">
        <v>2000</v>
      </c>
      <c r="H924" s="188">
        <f t="shared" si="39"/>
        <v>96000</v>
      </c>
    </row>
    <row r="925" spans="1:8" x14ac:dyDescent="0.25">
      <c r="A925" s="6" t="s">
        <v>302</v>
      </c>
      <c r="B925" s="6" t="s">
        <v>303</v>
      </c>
      <c r="C925" s="6" t="s">
        <v>217</v>
      </c>
      <c r="D925" s="7">
        <v>4</v>
      </c>
      <c r="E925" s="13">
        <v>2977</v>
      </c>
      <c r="F925" s="13">
        <f>E925*D925</f>
        <v>11908</v>
      </c>
      <c r="G925">
        <v>5800</v>
      </c>
      <c r="H925" s="188">
        <f t="shared" si="39"/>
        <v>23200</v>
      </c>
    </row>
    <row r="926" spans="1:8" x14ac:dyDescent="0.25">
      <c r="A926" s="6" t="s">
        <v>304</v>
      </c>
      <c r="B926" s="6" t="s">
        <v>305</v>
      </c>
      <c r="C926" s="6" t="s">
        <v>217</v>
      </c>
      <c r="D926" s="7">
        <v>7</v>
      </c>
      <c r="E926" s="13">
        <v>2977</v>
      </c>
      <c r="F926" s="13">
        <f t="shared" ref="F926:F941" si="42">E926*D926</f>
        <v>20839</v>
      </c>
      <c r="G926">
        <v>5800</v>
      </c>
      <c r="H926" s="188">
        <f t="shared" si="39"/>
        <v>40600</v>
      </c>
    </row>
    <row r="927" spans="1:8" x14ac:dyDescent="0.25">
      <c r="A927" s="6" t="s">
        <v>306</v>
      </c>
      <c r="B927" s="6" t="s">
        <v>307</v>
      </c>
      <c r="C927" s="6" t="s">
        <v>217</v>
      </c>
      <c r="D927" s="7">
        <v>7</v>
      </c>
      <c r="E927" s="13">
        <v>2977</v>
      </c>
      <c r="F927" s="13">
        <f t="shared" si="42"/>
        <v>20839</v>
      </c>
      <c r="G927">
        <v>5800</v>
      </c>
      <c r="H927" s="188">
        <f t="shared" si="39"/>
        <v>40600</v>
      </c>
    </row>
    <row r="928" spans="1:8" x14ac:dyDescent="0.25">
      <c r="A928" s="6" t="s">
        <v>308</v>
      </c>
      <c r="B928" s="6" t="s">
        <v>309</v>
      </c>
      <c r="C928" s="6" t="s">
        <v>217</v>
      </c>
      <c r="D928" s="7">
        <v>2</v>
      </c>
      <c r="E928" s="13">
        <v>2977</v>
      </c>
      <c r="F928" s="13">
        <f t="shared" si="42"/>
        <v>5954</v>
      </c>
      <c r="G928">
        <v>5800</v>
      </c>
      <c r="H928" s="188">
        <f t="shared" si="39"/>
        <v>11600</v>
      </c>
    </row>
    <row r="929" spans="1:8" x14ac:dyDescent="0.25">
      <c r="A929" s="6" t="s">
        <v>310</v>
      </c>
      <c r="B929" s="6" t="s">
        <v>311</v>
      </c>
      <c r="C929" s="6" t="s">
        <v>217</v>
      </c>
      <c r="D929" s="7">
        <v>6</v>
      </c>
      <c r="E929" s="13">
        <v>2977</v>
      </c>
      <c r="F929" s="13">
        <f t="shared" si="42"/>
        <v>17862</v>
      </c>
      <c r="G929">
        <v>5800</v>
      </c>
      <c r="H929" s="188">
        <f t="shared" si="39"/>
        <v>34800</v>
      </c>
    </row>
    <row r="930" spans="1:8" x14ac:dyDescent="0.25">
      <c r="A930" s="6" t="s">
        <v>312</v>
      </c>
      <c r="B930" s="6" t="s">
        <v>313</v>
      </c>
      <c r="C930" s="6" t="s">
        <v>217</v>
      </c>
      <c r="D930" s="7">
        <v>8</v>
      </c>
      <c r="E930" s="13">
        <v>2977</v>
      </c>
      <c r="F930" s="13">
        <f t="shared" si="42"/>
        <v>23816</v>
      </c>
      <c r="G930">
        <v>5800</v>
      </c>
      <c r="H930" s="188">
        <f t="shared" si="39"/>
        <v>46400</v>
      </c>
    </row>
    <row r="931" spans="1:8" x14ac:dyDescent="0.25">
      <c r="A931" s="6" t="s">
        <v>314</v>
      </c>
      <c r="B931" s="6" t="s">
        <v>315</v>
      </c>
      <c r="C931" s="6" t="s">
        <v>217</v>
      </c>
      <c r="D931" s="7">
        <v>10</v>
      </c>
      <c r="E931" s="13">
        <v>2977</v>
      </c>
      <c r="F931" s="13">
        <f t="shared" si="42"/>
        <v>29770</v>
      </c>
      <c r="G931">
        <v>5800</v>
      </c>
      <c r="H931" s="188">
        <f t="shared" si="39"/>
        <v>58000</v>
      </c>
    </row>
    <row r="932" spans="1:8" x14ac:dyDescent="0.25">
      <c r="A932" s="6" t="s">
        <v>417</v>
      </c>
      <c r="B932" s="6" t="s">
        <v>418</v>
      </c>
      <c r="C932" s="6" t="s">
        <v>217</v>
      </c>
      <c r="D932" s="7">
        <v>2</v>
      </c>
      <c r="E932" s="13">
        <v>2977</v>
      </c>
      <c r="F932" s="13">
        <f t="shared" si="42"/>
        <v>5954</v>
      </c>
      <c r="G932">
        <v>5800</v>
      </c>
      <c r="H932" s="188">
        <f t="shared" si="39"/>
        <v>11600</v>
      </c>
    </row>
    <row r="933" spans="1:8" x14ac:dyDescent="0.25">
      <c r="A933" s="6" t="s">
        <v>316</v>
      </c>
      <c r="B933" s="6" t="s">
        <v>317</v>
      </c>
      <c r="C933" s="6" t="s">
        <v>217</v>
      </c>
      <c r="D933" s="7">
        <v>8</v>
      </c>
      <c r="E933" s="13">
        <v>2977</v>
      </c>
      <c r="F933" s="13">
        <f t="shared" si="42"/>
        <v>23816</v>
      </c>
      <c r="G933">
        <v>5800</v>
      </c>
      <c r="H933" s="188">
        <f t="shared" si="39"/>
        <v>46400</v>
      </c>
    </row>
    <row r="934" spans="1:8" x14ac:dyDescent="0.25">
      <c r="A934" s="6" t="s">
        <v>318</v>
      </c>
      <c r="B934" s="6" t="s">
        <v>319</v>
      </c>
      <c r="C934" s="6" t="s">
        <v>217</v>
      </c>
      <c r="D934" s="7">
        <v>9</v>
      </c>
      <c r="E934" s="13">
        <v>2977</v>
      </c>
      <c r="F934" s="13">
        <f t="shared" si="42"/>
        <v>26793</v>
      </c>
      <c r="G934">
        <v>5800</v>
      </c>
      <c r="H934" s="188">
        <f t="shared" si="39"/>
        <v>52200</v>
      </c>
    </row>
    <row r="935" spans="1:8" x14ac:dyDescent="0.25">
      <c r="A935" s="6" t="s">
        <v>320</v>
      </c>
      <c r="B935" s="6" t="s">
        <v>321</v>
      </c>
      <c r="C935" s="6" t="s">
        <v>217</v>
      </c>
      <c r="D935" s="7">
        <v>3</v>
      </c>
      <c r="E935" s="13">
        <v>2977</v>
      </c>
      <c r="F935" s="13">
        <f t="shared" si="42"/>
        <v>8931</v>
      </c>
      <c r="G935">
        <v>5800</v>
      </c>
      <c r="H935" s="188">
        <f t="shared" si="39"/>
        <v>17400</v>
      </c>
    </row>
    <row r="936" spans="1:8" x14ac:dyDescent="0.25">
      <c r="A936" s="6" t="s">
        <v>322</v>
      </c>
      <c r="B936" s="6" t="s">
        <v>323</v>
      </c>
      <c r="C936" s="6" t="s">
        <v>217</v>
      </c>
      <c r="D936" s="7">
        <v>6</v>
      </c>
      <c r="E936" s="13">
        <v>2977</v>
      </c>
      <c r="F936" s="13">
        <f t="shared" si="42"/>
        <v>17862</v>
      </c>
      <c r="G936">
        <v>5800</v>
      </c>
      <c r="H936" s="188">
        <f t="shared" si="39"/>
        <v>34800</v>
      </c>
    </row>
    <row r="937" spans="1:8" x14ac:dyDescent="0.25">
      <c r="A937" s="6" t="s">
        <v>324</v>
      </c>
      <c r="B937" s="6" t="s">
        <v>325</v>
      </c>
      <c r="C937" s="6" t="s">
        <v>217</v>
      </c>
      <c r="D937" s="7">
        <v>9</v>
      </c>
      <c r="E937" s="13">
        <v>2977</v>
      </c>
      <c r="F937" s="13">
        <f t="shared" si="42"/>
        <v>26793</v>
      </c>
      <c r="G937">
        <v>5800</v>
      </c>
      <c r="H937" s="188">
        <f t="shared" si="39"/>
        <v>52200</v>
      </c>
    </row>
    <row r="938" spans="1:8" x14ac:dyDescent="0.25">
      <c r="A938" s="6" t="s">
        <v>326</v>
      </c>
      <c r="B938" s="6" t="s">
        <v>327</v>
      </c>
      <c r="C938" s="6" t="s">
        <v>217</v>
      </c>
      <c r="D938" s="7">
        <v>3</v>
      </c>
      <c r="E938" s="13">
        <v>2977</v>
      </c>
      <c r="F938" s="13">
        <f t="shared" si="42"/>
        <v>8931</v>
      </c>
      <c r="G938">
        <v>5800</v>
      </c>
      <c r="H938" s="188">
        <f t="shared" si="39"/>
        <v>17400</v>
      </c>
    </row>
    <row r="939" spans="1:8" x14ac:dyDescent="0.25">
      <c r="A939" s="6" t="s">
        <v>328</v>
      </c>
      <c r="B939" s="6" t="s">
        <v>329</v>
      </c>
      <c r="C939" s="6" t="s">
        <v>217</v>
      </c>
      <c r="D939" s="7">
        <v>9</v>
      </c>
      <c r="E939" s="13">
        <v>2977</v>
      </c>
      <c r="F939" s="13">
        <f t="shared" si="42"/>
        <v>26793</v>
      </c>
      <c r="G939">
        <v>5800</v>
      </c>
      <c r="H939" s="188">
        <f t="shared" si="39"/>
        <v>52200</v>
      </c>
    </row>
    <row r="940" spans="1:8" x14ac:dyDescent="0.25">
      <c r="A940" s="6" t="s">
        <v>364</v>
      </c>
      <c r="B940" s="6" t="s">
        <v>365</v>
      </c>
      <c r="C940" s="6" t="s">
        <v>217</v>
      </c>
      <c r="D940" s="7">
        <v>1</v>
      </c>
      <c r="E940" s="13">
        <v>2977</v>
      </c>
      <c r="F940" s="13">
        <f t="shared" si="42"/>
        <v>2977</v>
      </c>
      <c r="G940">
        <v>6700</v>
      </c>
      <c r="H940" s="188">
        <f t="shared" si="39"/>
        <v>6700</v>
      </c>
    </row>
    <row r="941" spans="1:8" x14ac:dyDescent="0.25">
      <c r="A941" s="6" t="s">
        <v>366</v>
      </c>
      <c r="B941" s="6" t="s">
        <v>367</v>
      </c>
      <c r="C941" s="6" t="s">
        <v>217</v>
      </c>
      <c r="D941" s="7">
        <v>3</v>
      </c>
      <c r="E941" s="13">
        <v>2977</v>
      </c>
      <c r="F941" s="13">
        <f t="shared" si="42"/>
        <v>8931</v>
      </c>
      <c r="G941">
        <v>6700</v>
      </c>
      <c r="H941" s="188">
        <f t="shared" si="39"/>
        <v>20100</v>
      </c>
    </row>
    <row r="942" spans="1:8" x14ac:dyDescent="0.25">
      <c r="A942" s="6" t="s">
        <v>368</v>
      </c>
      <c r="B942" s="6" t="s">
        <v>369</v>
      </c>
      <c r="C942" s="6" t="s">
        <v>217</v>
      </c>
      <c r="D942" s="7">
        <v>4</v>
      </c>
      <c r="E942" s="13">
        <v>1597.7</v>
      </c>
      <c r="F942" s="13">
        <f>E942*D942</f>
        <v>6390.8</v>
      </c>
      <c r="G942">
        <v>4100</v>
      </c>
      <c r="H942" s="188">
        <f t="shared" si="39"/>
        <v>16400</v>
      </c>
    </row>
    <row r="943" spans="1:8" x14ac:dyDescent="0.25">
      <c r="A943" s="6" t="s">
        <v>370</v>
      </c>
      <c r="B943" s="6" t="s">
        <v>371</v>
      </c>
      <c r="C943" s="6" t="s">
        <v>217</v>
      </c>
      <c r="D943" s="7">
        <v>11</v>
      </c>
      <c r="E943" s="13">
        <v>731</v>
      </c>
      <c r="F943" s="13">
        <f>D943*E943</f>
        <v>8041</v>
      </c>
      <c r="G943">
        <v>2200</v>
      </c>
      <c r="H943" s="188">
        <f t="shared" si="39"/>
        <v>24200</v>
      </c>
    </row>
    <row r="944" spans="1:8" x14ac:dyDescent="0.25">
      <c r="A944" s="6" t="s">
        <v>356</v>
      </c>
      <c r="B944" s="6" t="s">
        <v>357</v>
      </c>
      <c r="C944" s="6" t="s">
        <v>217</v>
      </c>
      <c r="D944" s="7">
        <v>3</v>
      </c>
      <c r="E944" s="13">
        <v>1277</v>
      </c>
      <c r="F944" s="13">
        <f>E944*D944</f>
        <v>3831</v>
      </c>
      <c r="G944">
        <v>3200</v>
      </c>
      <c r="H944" s="188">
        <f t="shared" si="39"/>
        <v>9600</v>
      </c>
    </row>
    <row r="945" spans="1:8" x14ac:dyDescent="0.25">
      <c r="A945" s="6" t="s">
        <v>358</v>
      </c>
      <c r="B945" s="6" t="s">
        <v>359</v>
      </c>
      <c r="C945" s="6" t="s">
        <v>217</v>
      </c>
      <c r="D945" s="7">
        <v>2</v>
      </c>
      <c r="E945" s="13">
        <v>1277</v>
      </c>
      <c r="F945" s="13">
        <f t="shared" ref="F945" si="43">E945*D945</f>
        <v>2554</v>
      </c>
      <c r="G945">
        <v>3200</v>
      </c>
      <c r="H945" s="188">
        <f t="shared" si="39"/>
        <v>6400</v>
      </c>
    </row>
    <row r="946" spans="1:8" x14ac:dyDescent="0.25">
      <c r="A946" s="6" t="s">
        <v>382</v>
      </c>
      <c r="B946" s="6" t="s">
        <v>383</v>
      </c>
      <c r="C946" s="6" t="s">
        <v>217</v>
      </c>
      <c r="D946" s="7">
        <v>75</v>
      </c>
      <c r="E946" s="13">
        <v>832</v>
      </c>
      <c r="F946" s="13">
        <f>D946*E946</f>
        <v>62400</v>
      </c>
      <c r="G946">
        <v>2700</v>
      </c>
      <c r="H946" s="188">
        <f t="shared" si="39"/>
        <v>202500</v>
      </c>
    </row>
    <row r="947" spans="1:8" x14ac:dyDescent="0.25">
      <c r="A947" s="6" t="s">
        <v>372</v>
      </c>
      <c r="B947" s="6" t="s">
        <v>373</v>
      </c>
      <c r="C947" s="6" t="s">
        <v>217</v>
      </c>
      <c r="D947" s="7">
        <v>100</v>
      </c>
      <c r="E947" s="13">
        <v>731</v>
      </c>
      <c r="F947" s="13">
        <f>D947*E947</f>
        <v>73100</v>
      </c>
      <c r="G947">
        <v>2000</v>
      </c>
      <c r="H947" s="188">
        <f t="shared" si="39"/>
        <v>200000</v>
      </c>
    </row>
    <row r="948" spans="1:8" x14ac:dyDescent="0.25">
      <c r="A948" s="6" t="s">
        <v>386</v>
      </c>
      <c r="B948" s="6" t="s">
        <v>387</v>
      </c>
      <c r="C948" s="6" t="s">
        <v>217</v>
      </c>
      <c r="D948" s="7">
        <v>13</v>
      </c>
      <c r="E948" s="13">
        <v>1597.7</v>
      </c>
      <c r="F948" s="13">
        <f>E948*D948</f>
        <v>20770.100000000002</v>
      </c>
      <c r="G948">
        <v>3800</v>
      </c>
      <c r="H948" s="188">
        <f t="shared" si="39"/>
        <v>49400</v>
      </c>
    </row>
    <row r="949" spans="1:8" x14ac:dyDescent="0.25">
      <c r="A949" s="6" t="s">
        <v>388</v>
      </c>
      <c r="B949" s="6" t="s">
        <v>389</v>
      </c>
      <c r="C949" s="6" t="s">
        <v>217</v>
      </c>
      <c r="D949" s="7">
        <v>1</v>
      </c>
      <c r="E949" s="13">
        <v>2977</v>
      </c>
      <c r="F949" s="13">
        <f>E949*D949</f>
        <v>2977</v>
      </c>
      <c r="G949">
        <v>5800</v>
      </c>
      <c r="H949" s="188">
        <f t="shared" si="39"/>
        <v>5800</v>
      </c>
    </row>
    <row r="950" spans="1:8" x14ac:dyDescent="0.25">
      <c r="A950" s="6" t="s">
        <v>390</v>
      </c>
      <c r="B950" s="6" t="s">
        <v>391</v>
      </c>
      <c r="C950" s="6" t="s">
        <v>217</v>
      </c>
      <c r="D950" s="7">
        <v>5</v>
      </c>
      <c r="E950" s="13">
        <v>1544</v>
      </c>
      <c r="F950" s="13">
        <f>E950*D950</f>
        <v>7720</v>
      </c>
      <c r="G950">
        <v>4900</v>
      </c>
      <c r="H950" s="188">
        <f t="shared" si="39"/>
        <v>24500</v>
      </c>
    </row>
    <row r="951" spans="1:8" x14ac:dyDescent="0.25">
      <c r="A951" s="6" t="s">
        <v>384</v>
      </c>
      <c r="B951" s="6" t="s">
        <v>385</v>
      </c>
      <c r="C951" s="6" t="s">
        <v>217</v>
      </c>
      <c r="D951" s="7">
        <v>1</v>
      </c>
      <c r="E951" s="13">
        <v>1277</v>
      </c>
      <c r="F951" s="13">
        <f t="shared" ref="F951:F952" si="44">E951*D951</f>
        <v>1277</v>
      </c>
      <c r="G951">
        <v>3200</v>
      </c>
      <c r="H951" s="188">
        <f t="shared" si="39"/>
        <v>3200</v>
      </c>
    </row>
    <row r="952" spans="1:8" x14ac:dyDescent="0.25">
      <c r="A952" s="6" t="s">
        <v>330</v>
      </c>
      <c r="B952" s="6" t="s">
        <v>331</v>
      </c>
      <c r="C952" s="6" t="s">
        <v>217</v>
      </c>
      <c r="D952" s="7">
        <v>1</v>
      </c>
      <c r="E952" s="13">
        <v>1277</v>
      </c>
      <c r="F952" s="13">
        <f t="shared" si="44"/>
        <v>1277</v>
      </c>
      <c r="G952">
        <v>3200</v>
      </c>
      <c r="H952" s="188">
        <f t="shared" si="39"/>
        <v>3200</v>
      </c>
    </row>
    <row r="953" spans="1:8" x14ac:dyDescent="0.25">
      <c r="A953" s="6" t="s">
        <v>332</v>
      </c>
      <c r="B953" s="6" t="s">
        <v>333</v>
      </c>
      <c r="C953" s="6" t="s">
        <v>217</v>
      </c>
      <c r="D953" s="7">
        <v>1</v>
      </c>
      <c r="E953" s="13">
        <v>1277</v>
      </c>
      <c r="F953" s="13">
        <f>E953*D953</f>
        <v>1277</v>
      </c>
      <c r="G953">
        <v>3200</v>
      </c>
      <c r="H953" s="188">
        <f t="shared" si="39"/>
        <v>3200</v>
      </c>
    </row>
    <row r="954" spans="1:8" x14ac:dyDescent="0.25">
      <c r="A954" s="6" t="s">
        <v>336</v>
      </c>
      <c r="B954" s="6" t="s">
        <v>337</v>
      </c>
      <c r="C954" s="6" t="s">
        <v>217</v>
      </c>
      <c r="D954" s="7">
        <v>1</v>
      </c>
      <c r="E954" s="13">
        <v>1277</v>
      </c>
      <c r="F954" s="13">
        <f>E954*D954</f>
        <v>1277</v>
      </c>
      <c r="G954">
        <v>3200</v>
      </c>
      <c r="H954" s="188">
        <f t="shared" si="39"/>
        <v>3200</v>
      </c>
    </row>
    <row r="955" spans="1:8" x14ac:dyDescent="0.25">
      <c r="A955" s="6" t="s">
        <v>338</v>
      </c>
      <c r="B955" s="6" t="s">
        <v>339</v>
      </c>
      <c r="C955" s="6" t="s">
        <v>217</v>
      </c>
      <c r="D955" s="7">
        <v>11</v>
      </c>
      <c r="E955" s="13">
        <v>731</v>
      </c>
      <c r="F955" s="13">
        <f>D955*E955</f>
        <v>8041</v>
      </c>
      <c r="G955">
        <v>2000</v>
      </c>
      <c r="H955" s="188">
        <f t="shared" si="39"/>
        <v>22000</v>
      </c>
    </row>
    <row r="956" spans="1:8" x14ac:dyDescent="0.25">
      <c r="A956" s="6" t="s">
        <v>340</v>
      </c>
      <c r="B956" s="6" t="s">
        <v>341</v>
      </c>
      <c r="C956" s="6" t="s">
        <v>217</v>
      </c>
      <c r="D956" s="7">
        <v>12</v>
      </c>
      <c r="E956" s="13">
        <v>1597.7</v>
      </c>
      <c r="F956" s="13">
        <f>E956*D956</f>
        <v>19172.400000000001</v>
      </c>
      <c r="G956">
        <v>3800</v>
      </c>
      <c r="H956" s="188">
        <f t="shared" si="39"/>
        <v>45600</v>
      </c>
    </row>
    <row r="957" spans="1:8" x14ac:dyDescent="0.25">
      <c r="A957" s="6" t="s">
        <v>342</v>
      </c>
      <c r="B957" s="6" t="s">
        <v>343</v>
      </c>
      <c r="C957" s="6" t="s">
        <v>217</v>
      </c>
      <c r="D957" s="7">
        <v>7</v>
      </c>
      <c r="E957" s="13">
        <v>2977</v>
      </c>
      <c r="F957" s="13">
        <f>E957*D957</f>
        <v>20839</v>
      </c>
      <c r="G957">
        <v>5800</v>
      </c>
      <c r="H957" s="188">
        <f t="shared" si="39"/>
        <v>40600</v>
      </c>
    </row>
    <row r="958" spans="1:8" x14ac:dyDescent="0.25">
      <c r="A958" s="6" t="s">
        <v>344</v>
      </c>
      <c r="B958" s="6" t="s">
        <v>345</v>
      </c>
      <c r="C958" s="6" t="s">
        <v>217</v>
      </c>
      <c r="D958" s="7">
        <v>20</v>
      </c>
      <c r="E958" s="13">
        <v>832</v>
      </c>
      <c r="F958" s="13">
        <f>D958*E958</f>
        <v>16640</v>
      </c>
      <c r="G958">
        <v>2700</v>
      </c>
      <c r="H958" s="188">
        <f t="shared" si="39"/>
        <v>54000</v>
      </c>
    </row>
    <row r="959" spans="1:8" x14ac:dyDescent="0.25">
      <c r="A959" s="6" t="s">
        <v>346</v>
      </c>
      <c r="B959" s="6" t="s">
        <v>347</v>
      </c>
      <c r="C959" s="6" t="s">
        <v>217</v>
      </c>
      <c r="D959" s="7">
        <v>15</v>
      </c>
      <c r="E959" s="13">
        <v>1544</v>
      </c>
      <c r="F959" s="13">
        <f>E959*D959</f>
        <v>23160</v>
      </c>
      <c r="G959">
        <v>4900</v>
      </c>
      <c r="H959" s="188">
        <f t="shared" si="39"/>
        <v>73500</v>
      </c>
    </row>
    <row r="960" spans="1:8" x14ac:dyDescent="0.25">
      <c r="A960" s="6" t="s">
        <v>374</v>
      </c>
      <c r="B960" s="6" t="s">
        <v>375</v>
      </c>
      <c r="C960" s="6" t="s">
        <v>217</v>
      </c>
      <c r="D960" s="7">
        <v>1</v>
      </c>
      <c r="E960" s="13">
        <v>731</v>
      </c>
      <c r="F960" s="13">
        <f>D960*E960</f>
        <v>731</v>
      </c>
      <c r="G960">
        <v>2200</v>
      </c>
      <c r="H960" s="188">
        <f t="shared" si="39"/>
        <v>2200</v>
      </c>
    </row>
    <row r="961" spans="1:8" x14ac:dyDescent="0.25">
      <c r="A961" s="6" t="s">
        <v>376</v>
      </c>
      <c r="B961" s="6" t="s">
        <v>377</v>
      </c>
      <c r="C961" s="6" t="s">
        <v>217</v>
      </c>
      <c r="D961" s="7">
        <v>4</v>
      </c>
      <c r="E961" s="13">
        <v>1597.7</v>
      </c>
      <c r="F961" s="13">
        <f>E961*D961</f>
        <v>6390.8</v>
      </c>
      <c r="G961">
        <v>4100</v>
      </c>
      <c r="H961" s="188">
        <f t="shared" si="39"/>
        <v>16400</v>
      </c>
    </row>
    <row r="962" spans="1:8" x14ac:dyDescent="0.25">
      <c r="A962" s="6" t="s">
        <v>414</v>
      </c>
      <c r="B962" s="6" t="s">
        <v>462</v>
      </c>
      <c r="C962" s="6" t="s">
        <v>217</v>
      </c>
      <c r="D962" s="7">
        <v>1</v>
      </c>
      <c r="E962" s="13">
        <v>1277</v>
      </c>
      <c r="F962" s="13">
        <f>E962*D962</f>
        <v>1277</v>
      </c>
      <c r="G962">
        <v>3200</v>
      </c>
      <c r="H962" s="188">
        <f t="shared" si="39"/>
        <v>3200</v>
      </c>
    </row>
    <row r="963" spans="1:8" x14ac:dyDescent="0.25">
      <c r="A963" s="6" t="s">
        <v>419</v>
      </c>
      <c r="B963" s="6" t="s">
        <v>468</v>
      </c>
      <c r="C963" s="6" t="s">
        <v>217</v>
      </c>
      <c r="D963" s="7">
        <v>1</v>
      </c>
      <c r="E963" s="13">
        <v>67</v>
      </c>
      <c r="F963" s="13">
        <f>E963*D963</f>
        <v>67</v>
      </c>
      <c r="G963">
        <v>800</v>
      </c>
      <c r="H963" s="188">
        <f t="shared" si="39"/>
        <v>800</v>
      </c>
    </row>
    <row r="964" spans="1:8" x14ac:dyDescent="0.25">
      <c r="A964" s="6"/>
      <c r="B964" s="12" t="s">
        <v>469</v>
      </c>
      <c r="C964" s="6" t="s">
        <v>217</v>
      </c>
      <c r="D964" s="7">
        <v>1</v>
      </c>
      <c r="E964" s="13">
        <v>240</v>
      </c>
      <c r="F964" s="13">
        <f>E964*D964</f>
        <v>240</v>
      </c>
      <c r="G964">
        <v>2400</v>
      </c>
      <c r="H964" s="188">
        <f t="shared" si="39"/>
        <v>2400</v>
      </c>
    </row>
    <row r="965" spans="1:8" ht="15.75" thickBot="1" x14ac:dyDescent="0.3">
      <c r="A965" s="148"/>
      <c r="B965" s="151" t="s">
        <v>469</v>
      </c>
      <c r="C965" s="152" t="s">
        <v>217</v>
      </c>
      <c r="D965" s="149">
        <v>1</v>
      </c>
      <c r="E965" s="150">
        <v>240</v>
      </c>
      <c r="F965" s="150">
        <f>E965*D965</f>
        <v>240</v>
      </c>
      <c r="G965">
        <v>1800</v>
      </c>
      <c r="H965" s="188">
        <f t="shared" si="39"/>
        <v>1800</v>
      </c>
    </row>
    <row r="966" spans="1:8" ht="22.5" customHeight="1" x14ac:dyDescent="0.25">
      <c r="A966" s="19"/>
      <c r="B966" s="19"/>
      <c r="C966" s="19"/>
      <c r="D966" s="20">
        <f>SUM(D9:D965)</f>
        <v>17252</v>
      </c>
      <c r="E966" s="20">
        <f>SUM(E9:E965)</f>
        <v>1472134.4999999944</v>
      </c>
      <c r="F966" s="20">
        <f>SUM(F9:F965)</f>
        <v>20130826.899999991</v>
      </c>
    </row>
  </sheetData>
  <autoFilter ref="A7:H7" xr:uid="{781FE481-FCE6-46B0-8870-11BC0FDF3EA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8C8B-2182-42CE-8EB3-D690D07D1289}">
  <dimension ref="A1:Q43"/>
  <sheetViews>
    <sheetView workbookViewId="0">
      <selection activeCell="H54" sqref="H54"/>
    </sheetView>
  </sheetViews>
  <sheetFormatPr defaultColWidth="12.85546875" defaultRowHeight="15" x14ac:dyDescent="0.25"/>
  <cols>
    <col min="2" max="2" width="7.28515625" customWidth="1"/>
    <col min="3" max="4" width="7.140625" customWidth="1"/>
    <col min="5" max="5" width="19.42578125" customWidth="1"/>
    <col min="6" max="6" width="17" customWidth="1"/>
    <col min="8" max="8" width="13.7109375" customWidth="1"/>
    <col min="12" max="12" width="14.5703125" customWidth="1"/>
  </cols>
  <sheetData>
    <row r="1" spans="1:17" ht="25.5" x14ac:dyDescent="0.25">
      <c r="A1" s="99" t="s">
        <v>420</v>
      </c>
      <c r="B1" s="100" t="s">
        <v>421</v>
      </c>
      <c r="C1" s="101" t="s">
        <v>422</v>
      </c>
      <c r="D1" s="101" t="s">
        <v>423</v>
      </c>
      <c r="E1" s="101" t="s">
        <v>424</v>
      </c>
      <c r="F1" s="101" t="s">
        <v>210</v>
      </c>
      <c r="G1" s="101" t="s">
        <v>211</v>
      </c>
      <c r="H1" s="101" t="s">
        <v>425</v>
      </c>
      <c r="I1" s="101" t="s">
        <v>426</v>
      </c>
      <c r="J1" s="102" t="s">
        <v>427</v>
      </c>
      <c r="K1" s="103" t="s">
        <v>428</v>
      </c>
      <c r="L1" s="103" t="s">
        <v>429</v>
      </c>
      <c r="M1" s="103" t="s">
        <v>430</v>
      </c>
    </row>
    <row r="2" spans="1:17" x14ac:dyDescent="0.25">
      <c r="A2" s="184" t="s">
        <v>431</v>
      </c>
      <c r="B2" s="104">
        <v>1</v>
      </c>
      <c r="C2" s="105"/>
      <c r="D2" s="106"/>
      <c r="E2" s="106" t="s">
        <v>459</v>
      </c>
      <c r="F2" s="107" t="s">
        <v>432</v>
      </c>
      <c r="G2" s="107" t="s">
        <v>433</v>
      </c>
      <c r="H2" s="107">
        <v>1</v>
      </c>
      <c r="I2" s="108">
        <v>195</v>
      </c>
      <c r="J2" s="109">
        <f>I2*H2</f>
        <v>195</v>
      </c>
      <c r="K2" s="110">
        <f>SUM(J2:J7)</f>
        <v>731.7</v>
      </c>
      <c r="L2" s="111">
        <v>1800</v>
      </c>
      <c r="M2" s="112">
        <f>(1-K2/L2)*100</f>
        <v>59.349999999999994</v>
      </c>
    </row>
    <row r="3" spans="1:17" x14ac:dyDescent="0.25">
      <c r="A3" s="184"/>
      <c r="B3" s="104">
        <v>2</v>
      </c>
      <c r="C3" s="113"/>
      <c r="D3" s="114"/>
      <c r="E3" s="106" t="s">
        <v>459</v>
      </c>
      <c r="F3" s="115" t="s">
        <v>434</v>
      </c>
      <c r="G3" s="114" t="s">
        <v>435</v>
      </c>
      <c r="H3" s="115">
        <v>100</v>
      </c>
      <c r="I3" s="116">
        <v>5</v>
      </c>
      <c r="J3" s="109">
        <f t="shared" ref="J3:J43" si="0">I3*H3</f>
        <v>500</v>
      </c>
      <c r="K3" s="117"/>
      <c r="L3" s="118"/>
      <c r="M3" s="12"/>
    </row>
    <row r="4" spans="1:17" x14ac:dyDescent="0.25">
      <c r="A4" s="184"/>
      <c r="B4" s="104">
        <v>3</v>
      </c>
      <c r="C4" s="113"/>
      <c r="D4" s="114"/>
      <c r="E4" s="114" t="s">
        <v>460</v>
      </c>
      <c r="F4" s="115" t="s">
        <v>436</v>
      </c>
      <c r="G4" s="115" t="s">
        <v>433</v>
      </c>
      <c r="H4" s="115">
        <v>1</v>
      </c>
      <c r="I4" s="116">
        <v>21</v>
      </c>
      <c r="J4" s="109">
        <f t="shared" si="0"/>
        <v>21</v>
      </c>
      <c r="K4" s="117"/>
      <c r="L4" s="118"/>
      <c r="M4" s="12"/>
    </row>
    <row r="5" spans="1:17" x14ac:dyDescent="0.25">
      <c r="A5" s="184"/>
      <c r="B5" s="104">
        <v>4</v>
      </c>
      <c r="C5" s="113"/>
      <c r="D5" s="114"/>
      <c r="E5" s="114" t="s">
        <v>460</v>
      </c>
      <c r="F5" s="119" t="s">
        <v>437</v>
      </c>
      <c r="G5" s="115" t="s">
        <v>433</v>
      </c>
      <c r="H5" s="115">
        <v>1</v>
      </c>
      <c r="I5" s="116">
        <v>2</v>
      </c>
      <c r="J5" s="109">
        <f t="shared" si="0"/>
        <v>2</v>
      </c>
      <c r="K5" s="117"/>
      <c r="L5" s="118"/>
      <c r="M5" s="12"/>
      <c r="O5" s="185" t="s">
        <v>438</v>
      </c>
      <c r="P5" s="185"/>
      <c r="Q5">
        <f>AVERAGE(M2,M8,M14,M20,M26,M37,M42)</f>
        <v>63.31596979798168</v>
      </c>
    </row>
    <row r="6" spans="1:17" x14ac:dyDescent="0.25">
      <c r="A6" s="184"/>
      <c r="B6" s="120">
        <v>5</v>
      </c>
      <c r="C6" s="121"/>
      <c r="D6" s="122"/>
      <c r="E6" s="114" t="s">
        <v>460</v>
      </c>
      <c r="F6" s="119" t="s">
        <v>439</v>
      </c>
      <c r="G6" s="119" t="s">
        <v>433</v>
      </c>
      <c r="H6" s="119">
        <v>1</v>
      </c>
      <c r="I6" s="123">
        <v>3.7</v>
      </c>
      <c r="J6" s="109">
        <f t="shared" si="0"/>
        <v>3.7</v>
      </c>
      <c r="K6" s="117"/>
      <c r="L6" s="118"/>
      <c r="M6" s="12"/>
    </row>
    <row r="7" spans="1:17" x14ac:dyDescent="0.25">
      <c r="A7" s="184"/>
      <c r="B7" s="120">
        <v>6</v>
      </c>
      <c r="C7" s="124"/>
      <c r="D7" s="125"/>
      <c r="E7" s="114" t="s">
        <v>460</v>
      </c>
      <c r="F7" s="126" t="s">
        <v>440</v>
      </c>
      <c r="G7" s="126" t="s">
        <v>433</v>
      </c>
      <c r="H7" s="126">
        <v>1</v>
      </c>
      <c r="I7" s="127">
        <v>10</v>
      </c>
      <c r="J7" s="109">
        <f t="shared" si="0"/>
        <v>10</v>
      </c>
      <c r="K7" s="117"/>
      <c r="L7" s="118"/>
      <c r="M7" s="12"/>
    </row>
    <row r="8" spans="1:17" x14ac:dyDescent="0.25">
      <c r="A8" s="184" t="s">
        <v>441</v>
      </c>
      <c r="B8" s="128">
        <v>1</v>
      </c>
      <c r="C8" s="129"/>
      <c r="D8" s="130"/>
      <c r="E8" s="106" t="s">
        <v>459</v>
      </c>
      <c r="F8" s="131" t="s">
        <v>432</v>
      </c>
      <c r="G8" s="131" t="s">
        <v>433</v>
      </c>
      <c r="H8" s="131">
        <v>1</v>
      </c>
      <c r="I8" s="132">
        <v>310</v>
      </c>
      <c r="J8" s="109">
        <f t="shared" si="0"/>
        <v>310</v>
      </c>
      <c r="K8" s="110">
        <f>SUM(J8:J13)</f>
        <v>1597.7</v>
      </c>
      <c r="L8" s="111">
        <v>3600</v>
      </c>
      <c r="M8" s="112">
        <f>(1-K8/L8)*100</f>
        <v>55.61944444444444</v>
      </c>
    </row>
    <row r="9" spans="1:17" x14ac:dyDescent="0.25">
      <c r="A9" s="184"/>
      <c r="B9" s="104">
        <v>2</v>
      </c>
      <c r="C9" s="113"/>
      <c r="D9" s="114"/>
      <c r="E9" s="106" t="s">
        <v>459</v>
      </c>
      <c r="F9" s="115" t="s">
        <v>434</v>
      </c>
      <c r="G9" s="114" t="s">
        <v>435</v>
      </c>
      <c r="H9" s="115">
        <v>250</v>
      </c>
      <c r="I9" s="116">
        <v>5</v>
      </c>
      <c r="J9" s="109">
        <f t="shared" si="0"/>
        <v>1250</v>
      </c>
      <c r="K9" s="117"/>
      <c r="L9" s="118"/>
      <c r="M9" s="12"/>
    </row>
    <row r="10" spans="1:17" x14ac:dyDescent="0.25">
      <c r="A10" s="184"/>
      <c r="B10" s="104">
        <v>3</v>
      </c>
      <c r="C10" s="113"/>
      <c r="D10" s="114"/>
      <c r="E10" s="114" t="s">
        <v>460</v>
      </c>
      <c r="F10" s="115" t="s">
        <v>436</v>
      </c>
      <c r="G10" s="115" t="s">
        <v>433</v>
      </c>
      <c r="H10" s="115">
        <v>1</v>
      </c>
      <c r="I10" s="116">
        <v>22</v>
      </c>
      <c r="J10" s="109">
        <f t="shared" si="0"/>
        <v>22</v>
      </c>
      <c r="K10" s="117"/>
      <c r="L10" s="118"/>
      <c r="M10" s="12"/>
    </row>
    <row r="11" spans="1:17" x14ac:dyDescent="0.25">
      <c r="A11" s="184"/>
      <c r="B11" s="104">
        <v>4</v>
      </c>
      <c r="C11" s="113"/>
      <c r="D11" s="114"/>
      <c r="E11" s="114" t="s">
        <v>460</v>
      </c>
      <c r="F11" s="119" t="s">
        <v>437</v>
      </c>
      <c r="G11" s="115" t="s">
        <v>433</v>
      </c>
      <c r="H11" s="115">
        <v>1</v>
      </c>
      <c r="I11" s="116">
        <v>2</v>
      </c>
      <c r="J11" s="109">
        <f t="shared" si="0"/>
        <v>2</v>
      </c>
      <c r="K11" s="117"/>
      <c r="L11" s="118"/>
      <c r="M11" s="12"/>
    </row>
    <row r="12" spans="1:17" x14ac:dyDescent="0.25">
      <c r="A12" s="184"/>
      <c r="B12" s="120">
        <v>5</v>
      </c>
      <c r="C12" s="121"/>
      <c r="D12" s="122"/>
      <c r="E12" s="114" t="s">
        <v>460</v>
      </c>
      <c r="F12" s="119" t="s">
        <v>439</v>
      </c>
      <c r="G12" s="119" t="s">
        <v>433</v>
      </c>
      <c r="H12" s="119">
        <v>1</v>
      </c>
      <c r="I12" s="123">
        <v>3.7</v>
      </c>
      <c r="J12" s="109">
        <f t="shared" si="0"/>
        <v>3.7</v>
      </c>
      <c r="K12" s="117"/>
      <c r="L12" s="118"/>
      <c r="M12" s="12"/>
    </row>
    <row r="13" spans="1:17" x14ac:dyDescent="0.25">
      <c r="A13" s="184"/>
      <c r="B13" s="133">
        <v>6</v>
      </c>
      <c r="C13" s="124"/>
      <c r="D13" s="125"/>
      <c r="E13" s="114" t="s">
        <v>460</v>
      </c>
      <c r="F13" s="126" t="s">
        <v>440</v>
      </c>
      <c r="G13" s="126" t="s">
        <v>433</v>
      </c>
      <c r="H13" s="126">
        <v>1</v>
      </c>
      <c r="I13" s="127">
        <v>10</v>
      </c>
      <c r="J13" s="109">
        <f t="shared" si="0"/>
        <v>10</v>
      </c>
      <c r="K13" s="117"/>
      <c r="L13" s="118"/>
      <c r="M13" s="12"/>
    </row>
    <row r="14" spans="1:17" x14ac:dyDescent="0.25">
      <c r="A14" s="184" t="s">
        <v>442</v>
      </c>
      <c r="B14" s="104">
        <v>1</v>
      </c>
      <c r="C14" s="129"/>
      <c r="D14" s="130"/>
      <c r="E14" s="106" t="s">
        <v>459</v>
      </c>
      <c r="F14" s="131" t="s">
        <v>432</v>
      </c>
      <c r="G14" s="131" t="s">
        <v>433</v>
      </c>
      <c r="H14" s="131">
        <v>1</v>
      </c>
      <c r="I14" s="132">
        <v>670</v>
      </c>
      <c r="J14" s="109">
        <f t="shared" si="0"/>
        <v>670</v>
      </c>
      <c r="K14" s="110">
        <f>SUM(J14:J19)</f>
        <v>2977</v>
      </c>
      <c r="L14" s="111">
        <v>5700</v>
      </c>
      <c r="M14" s="112">
        <f>(1-K14/L14)*100</f>
        <v>47.771929824561397</v>
      </c>
    </row>
    <row r="15" spans="1:17" x14ac:dyDescent="0.25">
      <c r="A15" s="184"/>
      <c r="B15" s="104">
        <v>2</v>
      </c>
      <c r="C15" s="113"/>
      <c r="D15" s="114"/>
      <c r="E15" s="106" t="s">
        <v>459</v>
      </c>
      <c r="F15" s="115" t="s">
        <v>434</v>
      </c>
      <c r="G15" s="114" t="s">
        <v>435</v>
      </c>
      <c r="H15" s="115">
        <v>500</v>
      </c>
      <c r="I15" s="116">
        <v>4.4800000000000004</v>
      </c>
      <c r="J15" s="109">
        <f>H15*I15</f>
        <v>2240</v>
      </c>
      <c r="K15" s="117"/>
      <c r="L15" s="118"/>
      <c r="M15" s="12"/>
    </row>
    <row r="16" spans="1:17" x14ac:dyDescent="0.25">
      <c r="A16" s="184"/>
      <c r="B16" s="104">
        <v>3</v>
      </c>
      <c r="C16" s="113"/>
      <c r="D16" s="114"/>
      <c r="E16" s="114" t="s">
        <v>460</v>
      </c>
      <c r="F16" s="115" t="s">
        <v>436</v>
      </c>
      <c r="G16" s="115" t="s">
        <v>433</v>
      </c>
      <c r="H16" s="115">
        <v>1</v>
      </c>
      <c r="I16" s="116">
        <v>49</v>
      </c>
      <c r="J16" s="109">
        <f t="shared" si="0"/>
        <v>49</v>
      </c>
      <c r="K16" s="117"/>
      <c r="L16" s="118"/>
      <c r="M16" s="12"/>
    </row>
    <row r="17" spans="1:13" x14ac:dyDescent="0.25">
      <c r="A17" s="184"/>
      <c r="B17" s="104">
        <v>4</v>
      </c>
      <c r="C17" s="113"/>
      <c r="D17" s="114"/>
      <c r="E17" s="114" t="s">
        <v>460</v>
      </c>
      <c r="F17" s="119" t="s">
        <v>437</v>
      </c>
      <c r="G17" s="115" t="s">
        <v>433</v>
      </c>
      <c r="H17" s="115">
        <v>1</v>
      </c>
      <c r="I17" s="116">
        <v>2</v>
      </c>
      <c r="J17" s="109">
        <f t="shared" si="0"/>
        <v>2</v>
      </c>
      <c r="K17" s="117"/>
      <c r="L17" s="118"/>
      <c r="M17" s="12"/>
    </row>
    <row r="18" spans="1:13" x14ac:dyDescent="0.25">
      <c r="A18" s="184"/>
      <c r="B18" s="120">
        <v>5</v>
      </c>
      <c r="C18" s="121"/>
      <c r="D18" s="122"/>
      <c r="E18" s="114" t="s">
        <v>460</v>
      </c>
      <c r="F18" s="119" t="s">
        <v>439</v>
      </c>
      <c r="G18" s="119" t="s">
        <v>433</v>
      </c>
      <c r="H18" s="119">
        <v>1</v>
      </c>
      <c r="I18" s="123">
        <v>6</v>
      </c>
      <c r="J18" s="109">
        <f t="shared" si="0"/>
        <v>6</v>
      </c>
      <c r="K18" s="117"/>
      <c r="L18" s="118"/>
      <c r="M18" s="12"/>
    </row>
    <row r="19" spans="1:13" x14ac:dyDescent="0.25">
      <c r="A19" s="184"/>
      <c r="B19" s="133">
        <v>6</v>
      </c>
      <c r="C19" s="124"/>
      <c r="D19" s="125"/>
      <c r="E19" s="114" t="s">
        <v>460</v>
      </c>
      <c r="F19" s="126" t="s">
        <v>440</v>
      </c>
      <c r="G19" s="126" t="s">
        <v>433</v>
      </c>
      <c r="H19" s="126">
        <v>1</v>
      </c>
      <c r="I19" s="127">
        <v>10</v>
      </c>
      <c r="J19" s="109">
        <f t="shared" si="0"/>
        <v>10</v>
      </c>
      <c r="K19" s="117"/>
      <c r="L19" s="118"/>
      <c r="M19" s="12"/>
    </row>
    <row r="20" spans="1:13" x14ac:dyDescent="0.25">
      <c r="A20" s="184" t="s">
        <v>443</v>
      </c>
      <c r="B20" s="120">
        <v>1</v>
      </c>
      <c r="C20" s="134"/>
      <c r="D20" s="135"/>
      <c r="E20" s="106" t="s">
        <v>459</v>
      </c>
      <c r="F20" s="115" t="s">
        <v>434</v>
      </c>
      <c r="G20" s="114" t="s">
        <v>435</v>
      </c>
      <c r="H20" s="136">
        <v>140</v>
      </c>
      <c r="I20" s="137">
        <v>6.85</v>
      </c>
      <c r="J20" s="109">
        <f t="shared" si="0"/>
        <v>959</v>
      </c>
      <c r="K20" s="110">
        <f>SUM(J20:J25)</f>
        <v>1544</v>
      </c>
      <c r="L20" s="111">
        <v>4400</v>
      </c>
      <c r="M20" s="112">
        <f>(1-K20/L20)*100</f>
        <v>64.909090909090921</v>
      </c>
    </row>
    <row r="21" spans="1:13" x14ac:dyDescent="0.25">
      <c r="A21" s="184"/>
      <c r="B21" s="104">
        <v>2</v>
      </c>
      <c r="C21" s="113"/>
      <c r="D21" s="114"/>
      <c r="E21" s="114" t="s">
        <v>460</v>
      </c>
      <c r="F21" s="115" t="s">
        <v>444</v>
      </c>
      <c r="G21" s="115" t="s">
        <v>433</v>
      </c>
      <c r="H21" s="115">
        <v>1</v>
      </c>
      <c r="I21" s="116">
        <v>465</v>
      </c>
      <c r="J21" s="109">
        <f t="shared" si="0"/>
        <v>465</v>
      </c>
      <c r="K21" s="117"/>
      <c r="L21" s="118"/>
      <c r="M21" s="12"/>
    </row>
    <row r="22" spans="1:13" x14ac:dyDescent="0.25">
      <c r="A22" s="184"/>
      <c r="B22" s="104">
        <v>3</v>
      </c>
      <c r="C22" s="113"/>
      <c r="D22" s="114"/>
      <c r="E22" s="114" t="s">
        <v>460</v>
      </c>
      <c r="F22" s="115" t="s">
        <v>445</v>
      </c>
      <c r="G22" s="115" t="s">
        <v>433</v>
      </c>
      <c r="H22" s="115">
        <v>1</v>
      </c>
      <c r="I22" s="116">
        <v>15</v>
      </c>
      <c r="J22" s="109">
        <f t="shared" si="0"/>
        <v>15</v>
      </c>
      <c r="K22" s="117"/>
      <c r="L22" s="118"/>
      <c r="M22" s="12"/>
    </row>
    <row r="23" spans="1:13" x14ac:dyDescent="0.25">
      <c r="A23" s="184"/>
      <c r="B23" s="104">
        <v>4</v>
      </c>
      <c r="C23" s="113"/>
      <c r="D23" s="114"/>
      <c r="E23" s="114" t="s">
        <v>460</v>
      </c>
      <c r="F23" s="115" t="s">
        <v>436</v>
      </c>
      <c r="G23" s="115" t="s">
        <v>433</v>
      </c>
      <c r="H23" s="115">
        <v>1</v>
      </c>
      <c r="I23" s="116">
        <v>49</v>
      </c>
      <c r="J23" s="109">
        <f t="shared" si="0"/>
        <v>49</v>
      </c>
      <c r="K23" s="117"/>
      <c r="L23" s="118"/>
      <c r="M23" s="12"/>
    </row>
    <row r="24" spans="1:13" x14ac:dyDescent="0.25">
      <c r="A24" s="184"/>
      <c r="B24" s="104">
        <v>5</v>
      </c>
      <c r="C24" s="113"/>
      <c r="D24" s="114"/>
      <c r="E24" s="114" t="s">
        <v>460</v>
      </c>
      <c r="F24" s="119" t="s">
        <v>437</v>
      </c>
      <c r="G24" s="115" t="s">
        <v>433</v>
      </c>
      <c r="H24" s="115">
        <v>1</v>
      </c>
      <c r="I24" s="116">
        <v>2</v>
      </c>
      <c r="J24" s="109">
        <f t="shared" si="0"/>
        <v>2</v>
      </c>
      <c r="K24" s="117"/>
      <c r="L24" s="118"/>
      <c r="M24" s="12"/>
    </row>
    <row r="25" spans="1:13" x14ac:dyDescent="0.25">
      <c r="A25" s="186"/>
      <c r="B25" s="120">
        <v>6</v>
      </c>
      <c r="C25" s="121"/>
      <c r="D25" s="122"/>
      <c r="E25" s="122" t="s">
        <v>460</v>
      </c>
      <c r="F25" s="119" t="s">
        <v>446</v>
      </c>
      <c r="G25" s="119" t="s">
        <v>433</v>
      </c>
      <c r="H25" s="119">
        <v>6</v>
      </c>
      <c r="I25" s="123">
        <v>9</v>
      </c>
      <c r="J25" s="109">
        <f t="shared" si="0"/>
        <v>54</v>
      </c>
      <c r="K25" s="117"/>
      <c r="L25" s="118"/>
      <c r="M25" s="12"/>
    </row>
    <row r="26" spans="1:13" x14ac:dyDescent="0.25">
      <c r="A26" s="184" t="s">
        <v>447</v>
      </c>
      <c r="B26" s="162">
        <v>1</v>
      </c>
      <c r="C26" s="163"/>
      <c r="D26" s="164"/>
      <c r="E26" s="164" t="s">
        <v>460</v>
      </c>
      <c r="F26" s="165" t="s">
        <v>448</v>
      </c>
      <c r="G26" s="165" t="s">
        <v>449</v>
      </c>
      <c r="H26" s="164">
        <v>0.218</v>
      </c>
      <c r="I26" s="166">
        <v>0</v>
      </c>
      <c r="J26" s="109">
        <f t="shared" si="0"/>
        <v>0</v>
      </c>
      <c r="K26" s="110">
        <f>SUM(J26:J36)</f>
        <v>834.03999999999951</v>
      </c>
      <c r="L26" s="111">
        <v>2600</v>
      </c>
      <c r="M26" s="112">
        <f>(1-K26/L26)*100</f>
        <v>67.921538461538475</v>
      </c>
    </row>
    <row r="27" spans="1:13" x14ac:dyDescent="0.25">
      <c r="A27" s="184"/>
      <c r="B27" s="104">
        <v>2</v>
      </c>
      <c r="C27" s="113"/>
      <c r="D27" s="114"/>
      <c r="E27" s="114" t="s">
        <v>460</v>
      </c>
      <c r="F27" s="115" t="s">
        <v>450</v>
      </c>
      <c r="G27" s="115" t="s">
        <v>449</v>
      </c>
      <c r="H27" s="114">
        <v>4.7999999999999996E-3</v>
      </c>
      <c r="I27" s="167">
        <v>2250</v>
      </c>
      <c r="J27" s="109">
        <f t="shared" si="0"/>
        <v>10.799999999999999</v>
      </c>
      <c r="K27" s="117"/>
      <c r="L27" s="118"/>
      <c r="M27" s="12"/>
    </row>
    <row r="28" spans="1:13" x14ac:dyDescent="0.25">
      <c r="A28" s="184"/>
      <c r="B28" s="104">
        <v>3</v>
      </c>
      <c r="C28" s="113"/>
      <c r="D28" s="114"/>
      <c r="E28" s="114" t="s">
        <v>460</v>
      </c>
      <c r="F28" s="115" t="s">
        <v>451</v>
      </c>
      <c r="G28" s="115" t="s">
        <v>449</v>
      </c>
      <c r="H28" s="114">
        <v>1.2E-2</v>
      </c>
      <c r="I28" s="167">
        <v>1580</v>
      </c>
      <c r="J28" s="109">
        <f t="shared" si="0"/>
        <v>18.96</v>
      </c>
      <c r="K28" s="117"/>
      <c r="L28" s="118"/>
      <c r="M28" s="12"/>
    </row>
    <row r="29" spans="1:13" x14ac:dyDescent="0.25">
      <c r="A29" s="184"/>
      <c r="B29" s="104">
        <v>4</v>
      </c>
      <c r="C29" s="113"/>
      <c r="D29" s="114"/>
      <c r="E29" s="114" t="s">
        <v>460</v>
      </c>
      <c r="F29" s="115" t="s">
        <v>452</v>
      </c>
      <c r="G29" s="115" t="s">
        <v>449</v>
      </c>
      <c r="H29" s="114">
        <v>2.3999999999999998E-3</v>
      </c>
      <c r="I29" s="167">
        <v>550</v>
      </c>
      <c r="J29" s="109">
        <f t="shared" si="0"/>
        <v>1.3199999999999998</v>
      </c>
      <c r="K29" s="117"/>
      <c r="L29" s="118"/>
      <c r="M29" s="12"/>
    </row>
    <row r="30" spans="1:13" x14ac:dyDescent="0.25">
      <c r="A30" s="184"/>
      <c r="B30" s="104">
        <v>5</v>
      </c>
      <c r="C30" s="113"/>
      <c r="D30" s="114"/>
      <c r="E30" s="114" t="s">
        <v>460</v>
      </c>
      <c r="F30" s="115" t="s">
        <v>453</v>
      </c>
      <c r="G30" s="115" t="s">
        <v>449</v>
      </c>
      <c r="H30" s="114">
        <v>12</v>
      </c>
      <c r="I30" s="167">
        <v>22.8333333333333</v>
      </c>
      <c r="J30" s="109">
        <f t="shared" si="0"/>
        <v>273.9999999999996</v>
      </c>
      <c r="K30" s="117"/>
      <c r="L30" s="118"/>
      <c r="M30" s="12"/>
    </row>
    <row r="31" spans="1:13" x14ac:dyDescent="0.25">
      <c r="A31" s="184"/>
      <c r="B31" s="104">
        <v>6</v>
      </c>
      <c r="C31" s="113"/>
      <c r="D31" s="114"/>
      <c r="E31" s="114" t="s">
        <v>460</v>
      </c>
      <c r="F31" s="115" t="s">
        <v>454</v>
      </c>
      <c r="G31" s="115" t="s">
        <v>449</v>
      </c>
      <c r="H31" s="114">
        <v>4.7999999999999996E-3</v>
      </c>
      <c r="I31" s="167">
        <v>5200</v>
      </c>
      <c r="J31" s="109">
        <f t="shared" si="0"/>
        <v>24.959999999999997</v>
      </c>
      <c r="K31" s="117"/>
      <c r="L31" s="118"/>
      <c r="M31" s="12"/>
    </row>
    <row r="32" spans="1:13" x14ac:dyDescent="0.25">
      <c r="A32" s="184"/>
      <c r="B32" s="104">
        <v>7</v>
      </c>
      <c r="C32" s="113"/>
      <c r="D32" s="114"/>
      <c r="E32" s="114" t="s">
        <v>460</v>
      </c>
      <c r="F32" s="115" t="s">
        <v>455</v>
      </c>
      <c r="G32" s="115" t="s">
        <v>433</v>
      </c>
      <c r="H32" s="114">
        <v>1</v>
      </c>
      <c r="I32" s="167">
        <v>60</v>
      </c>
      <c r="J32" s="109">
        <f t="shared" si="0"/>
        <v>60</v>
      </c>
      <c r="K32" s="117"/>
      <c r="L32" s="118"/>
      <c r="M32" s="12"/>
    </row>
    <row r="33" spans="1:13" x14ac:dyDescent="0.25">
      <c r="A33" s="184"/>
      <c r="B33" s="104">
        <v>8</v>
      </c>
      <c r="C33" s="113"/>
      <c r="D33" s="114"/>
      <c r="E33" s="114" t="s">
        <v>460</v>
      </c>
      <c r="F33" s="115" t="s">
        <v>444</v>
      </c>
      <c r="G33" s="115" t="s">
        <v>433</v>
      </c>
      <c r="H33" s="115">
        <v>1</v>
      </c>
      <c r="I33" s="167">
        <v>395</v>
      </c>
      <c r="J33" s="109">
        <f t="shared" si="0"/>
        <v>395</v>
      </c>
      <c r="K33" s="117"/>
      <c r="L33" s="118"/>
      <c r="M33" s="12"/>
    </row>
    <row r="34" spans="1:13" x14ac:dyDescent="0.25">
      <c r="A34" s="184"/>
      <c r="B34" s="104">
        <v>9</v>
      </c>
      <c r="C34" s="113"/>
      <c r="D34" s="114"/>
      <c r="E34" s="114" t="s">
        <v>460</v>
      </c>
      <c r="F34" s="115" t="s">
        <v>445</v>
      </c>
      <c r="G34" s="115" t="s">
        <v>433</v>
      </c>
      <c r="H34" s="115">
        <v>1</v>
      </c>
      <c r="I34" s="167">
        <v>15</v>
      </c>
      <c r="J34" s="109">
        <f t="shared" si="0"/>
        <v>15</v>
      </c>
      <c r="K34" s="117"/>
      <c r="L34" s="118"/>
      <c r="M34" s="12"/>
    </row>
    <row r="35" spans="1:13" x14ac:dyDescent="0.25">
      <c r="A35" s="184"/>
      <c r="B35" s="104">
        <v>10</v>
      </c>
      <c r="C35" s="113"/>
      <c r="D35" s="114"/>
      <c r="E35" s="114" t="s">
        <v>460</v>
      </c>
      <c r="F35" s="115" t="s">
        <v>436</v>
      </c>
      <c r="G35" s="115" t="s">
        <v>433</v>
      </c>
      <c r="H35" s="115">
        <v>1</v>
      </c>
      <c r="I35" s="167">
        <v>32</v>
      </c>
      <c r="J35" s="109">
        <f t="shared" si="0"/>
        <v>32</v>
      </c>
      <c r="K35" s="117"/>
      <c r="L35" s="118"/>
      <c r="M35" s="12"/>
    </row>
    <row r="36" spans="1:13" x14ac:dyDescent="0.25">
      <c r="A36" s="184"/>
      <c r="B36" s="168">
        <v>11</v>
      </c>
      <c r="C36" s="169"/>
      <c r="D36" s="170"/>
      <c r="E36" s="170" t="s">
        <v>460</v>
      </c>
      <c r="F36" s="171" t="s">
        <v>437</v>
      </c>
      <c r="G36" s="171" t="s">
        <v>433</v>
      </c>
      <c r="H36" s="171">
        <v>1</v>
      </c>
      <c r="I36" s="172">
        <v>2</v>
      </c>
      <c r="J36" s="109">
        <f t="shared" si="0"/>
        <v>2</v>
      </c>
      <c r="K36" s="117"/>
      <c r="L36" s="118"/>
      <c r="M36" s="12"/>
    </row>
    <row r="37" spans="1:13" x14ac:dyDescent="0.25">
      <c r="A37" s="182" t="s">
        <v>456</v>
      </c>
      <c r="B37" s="139">
        <v>1</v>
      </c>
      <c r="C37" s="173"/>
      <c r="D37" s="139"/>
      <c r="E37" s="164" t="s">
        <v>460</v>
      </c>
      <c r="F37" s="139" t="s">
        <v>444</v>
      </c>
      <c r="G37" s="139" t="s">
        <v>433</v>
      </c>
      <c r="H37" s="139">
        <v>1</v>
      </c>
      <c r="I37" s="174">
        <v>285</v>
      </c>
      <c r="J37" s="109">
        <f t="shared" si="0"/>
        <v>285</v>
      </c>
      <c r="K37" s="111">
        <f>SUM(J37:J41)</f>
        <v>1277</v>
      </c>
      <c r="L37" s="111">
        <v>3100</v>
      </c>
      <c r="M37" s="112">
        <f>(1-K37/L37)*100</f>
        <v>58.806451612903231</v>
      </c>
    </row>
    <row r="38" spans="1:13" x14ac:dyDescent="0.25">
      <c r="A38" s="182"/>
      <c r="B38" s="161">
        <v>2</v>
      </c>
      <c r="C38" s="138"/>
      <c r="D38" s="161"/>
      <c r="E38" s="114" t="s">
        <v>460</v>
      </c>
      <c r="F38" s="161" t="s">
        <v>445</v>
      </c>
      <c r="G38" s="161" t="s">
        <v>433</v>
      </c>
      <c r="H38" s="161">
        <v>1</v>
      </c>
      <c r="I38" s="175">
        <v>10</v>
      </c>
      <c r="J38" s="109">
        <f t="shared" si="0"/>
        <v>10</v>
      </c>
      <c r="K38" s="140"/>
      <c r="L38" s="118"/>
      <c r="M38" s="12"/>
    </row>
    <row r="39" spans="1:13" x14ac:dyDescent="0.25">
      <c r="A39" s="182"/>
      <c r="B39" s="161">
        <v>3</v>
      </c>
      <c r="C39" s="138"/>
      <c r="D39" s="161"/>
      <c r="E39" s="106" t="s">
        <v>459</v>
      </c>
      <c r="F39" s="161" t="s">
        <v>434</v>
      </c>
      <c r="G39" s="114" t="s">
        <v>435</v>
      </c>
      <c r="H39" s="161">
        <v>140</v>
      </c>
      <c r="I39" s="175">
        <v>6.85</v>
      </c>
      <c r="J39" s="109">
        <f t="shared" si="0"/>
        <v>959</v>
      </c>
      <c r="K39" s="140"/>
      <c r="L39" s="118"/>
      <c r="M39" s="12"/>
    </row>
    <row r="40" spans="1:13" x14ac:dyDescent="0.25">
      <c r="A40" s="182"/>
      <c r="B40" s="161">
        <v>4</v>
      </c>
      <c r="C40" s="138"/>
      <c r="D40" s="161"/>
      <c r="E40" s="114" t="s">
        <v>460</v>
      </c>
      <c r="F40" s="161" t="s">
        <v>436</v>
      </c>
      <c r="G40" s="161" t="s">
        <v>433</v>
      </c>
      <c r="H40" s="161">
        <v>1</v>
      </c>
      <c r="I40" s="175">
        <v>21</v>
      </c>
      <c r="J40" s="109">
        <f t="shared" si="0"/>
        <v>21</v>
      </c>
      <c r="K40" s="140"/>
      <c r="L40" s="118"/>
      <c r="M40" s="12"/>
    </row>
    <row r="41" spans="1:13" x14ac:dyDescent="0.25">
      <c r="A41" s="182"/>
      <c r="B41" s="145">
        <v>5</v>
      </c>
      <c r="C41" s="176"/>
      <c r="D41" s="145"/>
      <c r="E41" s="170" t="s">
        <v>460</v>
      </c>
      <c r="F41" s="171" t="s">
        <v>437</v>
      </c>
      <c r="G41" s="145" t="s">
        <v>433</v>
      </c>
      <c r="H41" s="145">
        <v>1</v>
      </c>
      <c r="I41" s="177">
        <v>2</v>
      </c>
      <c r="J41" s="141">
        <f t="shared" si="0"/>
        <v>2</v>
      </c>
      <c r="K41" s="140"/>
      <c r="L41" s="118"/>
      <c r="M41" s="12"/>
    </row>
    <row r="42" spans="1:13" x14ac:dyDescent="0.25">
      <c r="A42" s="183" t="s">
        <v>457</v>
      </c>
      <c r="B42" s="178">
        <v>1</v>
      </c>
      <c r="C42" s="179"/>
      <c r="D42" s="179"/>
      <c r="E42" s="164" t="s">
        <v>460</v>
      </c>
      <c r="F42" s="139" t="s">
        <v>446</v>
      </c>
      <c r="G42" s="139" t="s">
        <v>433</v>
      </c>
      <c r="H42" s="139">
        <v>6</v>
      </c>
      <c r="I42" s="180">
        <v>9</v>
      </c>
      <c r="J42" s="142">
        <f t="shared" si="0"/>
        <v>54</v>
      </c>
      <c r="K42" s="112">
        <f>SUM(J42:J43)</f>
        <v>67</v>
      </c>
      <c r="L42" s="112">
        <v>600</v>
      </c>
      <c r="M42" s="112">
        <f>(1-K42/L42)*100</f>
        <v>88.833333333333329</v>
      </c>
    </row>
    <row r="43" spans="1:13" x14ac:dyDescent="0.25">
      <c r="A43" s="183"/>
      <c r="B43" s="143">
        <v>2</v>
      </c>
      <c r="C43" s="144"/>
      <c r="D43" s="144"/>
      <c r="E43" s="170" t="s">
        <v>460</v>
      </c>
      <c r="F43" s="145" t="s">
        <v>458</v>
      </c>
      <c r="G43" s="145" t="s">
        <v>433</v>
      </c>
      <c r="H43" s="145">
        <v>1</v>
      </c>
      <c r="I43" s="181">
        <v>13</v>
      </c>
      <c r="J43" s="146">
        <f t="shared" si="0"/>
        <v>13</v>
      </c>
      <c r="K43" s="12"/>
      <c r="L43" s="12"/>
      <c r="M43" s="12"/>
    </row>
  </sheetData>
  <autoFilter ref="A1:Q43" xr:uid="{80758C8B-2182-42CE-8EB3-D690D07D1289}"/>
  <mergeCells count="8">
    <mergeCell ref="A37:A41"/>
    <mergeCell ref="A42:A43"/>
    <mergeCell ref="A2:A7"/>
    <mergeCell ref="O5:P5"/>
    <mergeCell ref="A8:A13"/>
    <mergeCell ref="A14:A19"/>
    <mergeCell ref="A20:A25"/>
    <mergeCell ref="A26:A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0FB3-BD79-436C-AC7C-B92D27B9B537}">
  <dimension ref="A1:V1418"/>
  <sheetViews>
    <sheetView showGridLines="0" topLeftCell="A358" workbookViewId="0">
      <selection activeCell="G365" sqref="G365"/>
    </sheetView>
  </sheetViews>
  <sheetFormatPr defaultColWidth="9.140625" defaultRowHeight="15.95" customHeight="1" x14ac:dyDescent="0.25"/>
  <cols>
    <col min="1" max="1" width="9.28515625" style="2" customWidth="1"/>
    <col min="2" max="2" width="12.140625" style="4" customWidth="1"/>
    <col min="3" max="3" width="22.85546875" style="2" customWidth="1"/>
    <col min="4" max="4" width="19.140625" style="2" customWidth="1"/>
    <col min="5" max="5" width="18.42578125" style="2" customWidth="1"/>
    <col min="6" max="6" width="25" style="18" customWidth="1"/>
    <col min="7" max="7" width="20.28515625" style="5" customWidth="1"/>
    <col min="8" max="8" width="17.140625" style="16" customWidth="1"/>
    <col min="9" max="9" width="1.85546875" style="2" customWidth="1"/>
    <col min="10" max="10" width="21.5703125" style="18" customWidth="1"/>
    <col min="11" max="11" width="3.140625" style="2" customWidth="1"/>
    <col min="12" max="12" width="16.42578125" style="2" bestFit="1" customWidth="1"/>
    <col min="13" max="13" width="15" style="2" bestFit="1" customWidth="1"/>
    <col min="14" max="16" width="9.140625" style="2"/>
    <col min="17" max="17" width="14.7109375" style="2" customWidth="1"/>
    <col min="18" max="18" width="9.140625" style="2"/>
    <col min="19" max="19" width="14.42578125" style="2" bestFit="1" customWidth="1"/>
    <col min="20" max="20" width="16" style="2" bestFit="1" customWidth="1"/>
    <col min="21" max="16384" width="9.140625" style="2"/>
  </cols>
  <sheetData>
    <row r="1" spans="1:10" ht="102.75" customHeight="1" x14ac:dyDescent="0.25">
      <c r="A1" s="73"/>
      <c r="B1" s="74"/>
      <c r="C1" s="73"/>
      <c r="D1" s="73"/>
      <c r="E1" s="73"/>
      <c r="F1" s="75"/>
      <c r="G1" s="76"/>
      <c r="H1" s="77"/>
      <c r="I1" s="73"/>
      <c r="J1" s="75"/>
    </row>
    <row r="2" spans="1:10" ht="34.5" x14ac:dyDescent="0.3">
      <c r="G2" s="21" t="s">
        <v>0</v>
      </c>
      <c r="H2" s="22" t="s">
        <v>1</v>
      </c>
      <c r="J2" s="23" t="str">
        <f>[1]CF!$E$10</f>
        <v>2024
RUPEES</v>
      </c>
    </row>
    <row r="3" spans="1:10" ht="8.25" hidden="1" customHeight="1" x14ac:dyDescent="0.25">
      <c r="C3" s="24"/>
      <c r="G3" s="25"/>
      <c r="J3" s="26"/>
    </row>
    <row r="4" spans="1:10" ht="35.1" hidden="1" customHeight="1" x14ac:dyDescent="0.25">
      <c r="B4" s="27">
        <f>+[1]F.A!A1+1</f>
        <v>4</v>
      </c>
      <c r="C4" s="28" t="s">
        <v>3</v>
      </c>
      <c r="D4" s="28"/>
      <c r="E4" s="29"/>
      <c r="F4" s="30"/>
      <c r="G4" s="28"/>
      <c r="H4" s="31"/>
      <c r="I4" s="28"/>
      <c r="J4" s="30"/>
    </row>
    <row r="5" spans="1:10" ht="32.25" hidden="1" customHeight="1" x14ac:dyDescent="0.25">
      <c r="C5" s="24"/>
      <c r="D5" s="32"/>
      <c r="E5" s="32"/>
      <c r="F5" s="33"/>
      <c r="H5" s="34"/>
      <c r="I5" s="32"/>
      <c r="J5" s="35"/>
    </row>
    <row r="6" spans="1:10" ht="24.95" hidden="1" customHeight="1" x14ac:dyDescent="0.25">
      <c r="C6" s="2" t="s">
        <v>4</v>
      </c>
      <c r="H6" s="34"/>
      <c r="J6" s="78">
        <f>[1]Trial!$J$10+[1]Trial!J9</f>
        <v>421154.98000000324</v>
      </c>
    </row>
    <row r="7" spans="1:10" ht="24.95" hidden="1" customHeight="1" x14ac:dyDescent="0.25">
      <c r="C7" s="2" t="s">
        <v>5</v>
      </c>
      <c r="G7" s="36"/>
      <c r="H7" s="37"/>
    </row>
    <row r="8" spans="1:10" ht="24.75" hidden="1" customHeight="1" x14ac:dyDescent="0.25">
      <c r="C8" s="2" t="s">
        <v>6</v>
      </c>
      <c r="G8" s="36"/>
      <c r="H8" s="37"/>
      <c r="J8" s="78">
        <f>+[1]Trial!J8</f>
        <v>-621473</v>
      </c>
    </row>
    <row r="9" spans="1:10" ht="11.25" hidden="1" customHeight="1" x14ac:dyDescent="0.25">
      <c r="G9" s="2"/>
    </row>
    <row r="10" spans="1:10" ht="24.95" hidden="1" customHeight="1" x14ac:dyDescent="0.3">
      <c r="G10" s="36"/>
      <c r="H10" s="37"/>
      <c r="J10" s="79">
        <f>SUM(J6:J8)</f>
        <v>-200318.01999999676</v>
      </c>
    </row>
    <row r="11" spans="1:10" ht="35.1" customHeight="1" x14ac:dyDescent="0.25">
      <c r="B11" s="27">
        <v>1</v>
      </c>
      <c r="C11" s="28" t="s">
        <v>7</v>
      </c>
      <c r="D11" s="28"/>
      <c r="E11" s="29"/>
      <c r="F11" s="30"/>
      <c r="G11" s="28"/>
      <c r="H11" s="31"/>
      <c r="I11" s="28"/>
      <c r="J11" s="30"/>
    </row>
    <row r="12" spans="1:10" ht="30" customHeight="1" x14ac:dyDescent="0.25">
      <c r="B12" s="38" t="s">
        <v>8</v>
      </c>
      <c r="C12" s="2" t="s">
        <v>9</v>
      </c>
      <c r="H12" s="39">
        <f>J12/$J$16</f>
        <v>0.17091431013061573</v>
      </c>
      <c r="J12" s="78">
        <f>[1]Sheet7!C14</f>
        <v>498500</v>
      </c>
    </row>
    <row r="13" spans="1:10" ht="30" customHeight="1" x14ac:dyDescent="0.25">
      <c r="C13" s="2" t="s">
        <v>10</v>
      </c>
      <c r="G13" s="5">
        <v>1.1000000000000001</v>
      </c>
      <c r="H13" s="39">
        <f>J13/$J$16</f>
        <v>0.61466280209468604</v>
      </c>
      <c r="J13" s="78">
        <f>J30</f>
        <v>1792766.25</v>
      </c>
    </row>
    <row r="14" spans="1:10" ht="30" customHeight="1" x14ac:dyDescent="0.25">
      <c r="C14" s="2" t="s">
        <v>11</v>
      </c>
      <c r="G14" s="5">
        <v>1.2</v>
      </c>
      <c r="H14" s="39">
        <f>J14/J16</f>
        <v>0.21442288777469826</v>
      </c>
      <c r="J14" s="80">
        <f>J33</f>
        <v>625400</v>
      </c>
    </row>
    <row r="15" spans="1:10" ht="30" hidden="1" customHeight="1" x14ac:dyDescent="0.25">
      <c r="C15" s="2" t="s">
        <v>12</v>
      </c>
      <c r="H15" s="39">
        <f>J15/J16</f>
        <v>0</v>
      </c>
      <c r="J15" s="80">
        <v>0</v>
      </c>
    </row>
    <row r="16" spans="1:10" ht="30" customHeight="1" thickBot="1" x14ac:dyDescent="0.3">
      <c r="H16" s="40">
        <f>SUM(H12:H15)</f>
        <v>1</v>
      </c>
      <c r="J16" s="79">
        <f>SUM(J12:J15)</f>
        <v>2916666.25</v>
      </c>
    </row>
    <row r="17" spans="2:12" ht="13.5" customHeight="1" thickTop="1" x14ac:dyDescent="0.25">
      <c r="G17" s="2"/>
    </row>
    <row r="18" spans="2:12" ht="35.1" customHeight="1" x14ac:dyDescent="0.25">
      <c r="B18" s="41">
        <f>+G13</f>
        <v>1.1000000000000001</v>
      </c>
      <c r="C18" s="42" t="str">
        <f>+C13</f>
        <v>Stockists Sales</v>
      </c>
      <c r="D18" s="42"/>
      <c r="E18" s="43"/>
      <c r="F18" s="44"/>
      <c r="G18" s="42"/>
      <c r="H18" s="45"/>
      <c r="I18" s="42"/>
      <c r="J18" s="44"/>
    </row>
    <row r="19" spans="2:12" ht="30" customHeight="1" x14ac:dyDescent="0.25">
      <c r="C19" s="2" t="str">
        <f>[1]Trial!B64</f>
        <v>Sales Revenue Lavilla</v>
      </c>
      <c r="H19" s="39">
        <f t="shared" ref="H19:H25" si="0">J19/$J$30</f>
        <v>1.8072629379318136E-2</v>
      </c>
      <c r="J19" s="78">
        <f>[1]Sheet7!C11</f>
        <v>32400</v>
      </c>
    </row>
    <row r="20" spans="2:12" ht="30" customHeight="1" x14ac:dyDescent="0.25">
      <c r="C20" s="2" t="s">
        <v>14</v>
      </c>
      <c r="H20" s="39">
        <f t="shared" si="0"/>
        <v>0.16577732875102932</v>
      </c>
      <c r="J20" s="78">
        <f>[1]Sheet7!C9</f>
        <v>297200</v>
      </c>
    </row>
    <row r="21" spans="2:12" ht="30" customHeight="1" x14ac:dyDescent="0.25">
      <c r="C21" s="2" t="s">
        <v>15</v>
      </c>
      <c r="H21" s="39">
        <f t="shared" si="0"/>
        <v>9.4769744800807132E-2</v>
      </c>
      <c r="J21" s="78">
        <f>[1]Sheet7!C10</f>
        <v>169900</v>
      </c>
    </row>
    <row r="22" spans="2:12" ht="30" customHeight="1" x14ac:dyDescent="0.25">
      <c r="C22" s="2" t="s">
        <v>16</v>
      </c>
      <c r="H22" s="39">
        <f t="shared" si="0"/>
        <v>5.611439862837668E-2</v>
      </c>
      <c r="J22" s="78">
        <f>[1]Sheet7!C8</f>
        <v>100600</v>
      </c>
    </row>
    <row r="23" spans="2:12" ht="30" customHeight="1" x14ac:dyDescent="0.25">
      <c r="C23" s="2" t="s">
        <v>17</v>
      </c>
      <c r="H23" s="39">
        <f t="shared" si="0"/>
        <v>8.1047933605398914E-2</v>
      </c>
      <c r="J23" s="78">
        <f>[1]Sheet7!C12</f>
        <v>145300</v>
      </c>
    </row>
    <row r="24" spans="2:12" ht="30" customHeight="1" x14ac:dyDescent="0.25">
      <c r="C24" s="2" t="s">
        <v>18</v>
      </c>
      <c r="H24" s="39">
        <f t="shared" si="0"/>
        <v>8.4227377662871555E-2</v>
      </c>
      <c r="J24" s="78">
        <f>[1]Sheet7!C13</f>
        <v>151000</v>
      </c>
    </row>
    <row r="25" spans="2:12" ht="30" customHeight="1" x14ac:dyDescent="0.25">
      <c r="C25" s="2" t="s">
        <v>19</v>
      </c>
      <c r="H25" s="39">
        <f t="shared" si="0"/>
        <v>1.9578681827594646E-2</v>
      </c>
      <c r="J25" s="78">
        <f>[1]Sheet7!C15</f>
        <v>35100</v>
      </c>
    </row>
    <row r="26" spans="2:12" ht="30" customHeight="1" x14ac:dyDescent="0.25">
      <c r="C26" s="2" t="s">
        <v>20</v>
      </c>
      <c r="H26" s="39">
        <f>J26/$J$30</f>
        <v>2.058271679311232E-2</v>
      </c>
      <c r="J26" s="78">
        <f>[1]Sheet7!C18</f>
        <v>36900</v>
      </c>
      <c r="L26" s="86"/>
    </row>
    <row r="27" spans="2:12" ht="30" customHeight="1" x14ac:dyDescent="0.25">
      <c r="C27" s="2" t="s">
        <v>21</v>
      </c>
      <c r="H27" s="39">
        <f>J27/$J$30</f>
        <v>0.2320436364751958</v>
      </c>
      <c r="J27" s="78">
        <f>[1]Sheet7!C19</f>
        <v>416000</v>
      </c>
    </row>
    <row r="28" spans="2:12" ht="30" customHeight="1" x14ac:dyDescent="0.25">
      <c r="C28" s="2" t="s">
        <v>22</v>
      </c>
      <c r="H28" s="39">
        <f t="shared" ref="H28" si="1">J28/$J$30</f>
        <v>7.0672905628382951E-2</v>
      </c>
      <c r="J28" s="78">
        <f>[1]Sheet7!C16</f>
        <v>126700</v>
      </c>
    </row>
    <row r="29" spans="2:12" ht="30" customHeight="1" x14ac:dyDescent="0.25">
      <c r="C29" s="2" t="s">
        <v>23</v>
      </c>
      <c r="H29" s="39">
        <f>J29/$J$30</f>
        <v>0.15711264644791254</v>
      </c>
      <c r="J29" s="78">
        <f>[1]Sheet7!C17</f>
        <v>281666.25</v>
      </c>
      <c r="L29" s="86"/>
    </row>
    <row r="30" spans="2:12" ht="30" customHeight="1" thickBot="1" x14ac:dyDescent="0.3">
      <c r="C30" s="46"/>
      <c r="H30" s="40">
        <f>SUM(H19:H29)</f>
        <v>0.99999999999999989</v>
      </c>
      <c r="J30" s="79">
        <f>SUM(J19:J29)</f>
        <v>1792766.25</v>
      </c>
      <c r="L30" s="49"/>
    </row>
    <row r="31" spans="2:12" ht="21" thickTop="1" x14ac:dyDescent="0.25">
      <c r="C31" s="46"/>
      <c r="H31" s="47"/>
      <c r="J31" s="48"/>
      <c r="L31" s="49"/>
    </row>
    <row r="32" spans="2:12" ht="18.75" customHeight="1" x14ac:dyDescent="0.25">
      <c r="B32" s="41">
        <v>1.2</v>
      </c>
      <c r="C32" s="42" t="s">
        <v>11</v>
      </c>
      <c r="D32" s="42"/>
      <c r="E32" s="43"/>
      <c r="F32" s="44"/>
      <c r="G32" s="42"/>
      <c r="H32" s="45"/>
      <c r="I32" s="42"/>
      <c r="J32" s="44"/>
    </row>
    <row r="33" spans="2:12" ht="18.75" customHeight="1" x14ac:dyDescent="0.25">
      <c r="C33" s="2" t="s">
        <v>24</v>
      </c>
      <c r="E33" s="2" t="s">
        <v>25</v>
      </c>
      <c r="H33" s="39">
        <f>J33/$J$34</f>
        <v>1</v>
      </c>
      <c r="J33" s="78">
        <f>[1]Sheet7!C21</f>
        <v>625400</v>
      </c>
    </row>
    <row r="34" spans="2:12" ht="15.75" customHeight="1" thickBot="1" x14ac:dyDescent="0.3">
      <c r="C34" s="46"/>
      <c r="H34" s="40">
        <f>SUM(H33)</f>
        <v>1</v>
      </c>
      <c r="J34" s="79">
        <f>SUM(J33)</f>
        <v>625400</v>
      </c>
    </row>
    <row r="35" spans="2:12" ht="21" thickTop="1" x14ac:dyDescent="0.25"/>
    <row r="36" spans="2:12" ht="35.1" customHeight="1" x14ac:dyDescent="0.25">
      <c r="B36" s="27">
        <f>+B11+1</f>
        <v>2</v>
      </c>
      <c r="C36" s="28" t="s">
        <v>26</v>
      </c>
      <c r="D36" s="28"/>
      <c r="E36" s="29"/>
      <c r="F36" s="30"/>
      <c r="G36" s="28"/>
      <c r="H36" s="31"/>
      <c r="I36" s="28"/>
      <c r="J36" s="30"/>
    </row>
    <row r="37" spans="2:12" ht="20.25" x14ac:dyDescent="0.25">
      <c r="C37" s="24"/>
      <c r="D37" s="50"/>
      <c r="E37" s="50"/>
      <c r="F37" s="51"/>
      <c r="G37" s="52"/>
      <c r="H37" s="53"/>
      <c r="I37" s="50"/>
      <c r="J37" s="51"/>
    </row>
    <row r="38" spans="2:12" ht="28.5" customHeight="1" x14ac:dyDescent="0.25">
      <c r="C38" s="2" t="str">
        <f>[1]Trial!B85</f>
        <v>Cost of Goods Sold</v>
      </c>
      <c r="H38" s="39">
        <f>J38/$J$43</f>
        <v>0.71982035896092034</v>
      </c>
      <c r="J38" s="78">
        <f>[1]Sheet7!C36</f>
        <v>1270833.81</v>
      </c>
    </row>
    <row r="39" spans="2:12" ht="33" customHeight="1" x14ac:dyDescent="0.25">
      <c r="C39" s="2" t="str">
        <f>[1]Trial!B93</f>
        <v>Shopify Fee</v>
      </c>
      <c r="H39" s="39">
        <f t="shared" ref="H39:H42" si="2">J39/$J$43</f>
        <v>4.4303798364581969E-3</v>
      </c>
      <c r="J39" s="78">
        <f>[1]Sheet7!C38</f>
        <v>7821.78</v>
      </c>
    </row>
    <row r="40" spans="2:12" ht="30" customHeight="1" x14ac:dyDescent="0.25">
      <c r="C40" s="2" t="s">
        <v>29</v>
      </c>
      <c r="G40" s="5">
        <v>2.1</v>
      </c>
      <c r="H40" s="39">
        <f t="shared" si="2"/>
        <v>0.23607984299180373</v>
      </c>
      <c r="J40" s="78">
        <f>J63</f>
        <v>416796</v>
      </c>
      <c r="L40" s="3"/>
    </row>
    <row r="41" spans="2:12" ht="30.75" hidden="1" customHeight="1" x14ac:dyDescent="0.25">
      <c r="C41" s="2" t="s">
        <v>30</v>
      </c>
      <c r="H41" s="39">
        <f t="shared" si="2"/>
        <v>0</v>
      </c>
      <c r="J41" s="78">
        <v>0</v>
      </c>
    </row>
    <row r="42" spans="2:12" ht="30.75" customHeight="1" x14ac:dyDescent="0.25">
      <c r="C42" s="2" t="s">
        <v>31</v>
      </c>
      <c r="H42" s="39">
        <f t="shared" si="2"/>
        <v>3.9669418210817639E-2</v>
      </c>
      <c r="J42" s="78">
        <f>[1]Sheet7!C39</f>
        <v>70035.86</v>
      </c>
    </row>
    <row r="43" spans="2:12" ht="30" customHeight="1" thickBot="1" x14ac:dyDescent="0.3">
      <c r="C43" s="46"/>
      <c r="H43" s="40">
        <f>SUM(H38:H42)</f>
        <v>0.99999999999999989</v>
      </c>
      <c r="J43" s="79">
        <f>SUM(J38:J42)</f>
        <v>1765487.4500000002</v>
      </c>
    </row>
    <row r="44" spans="2:12" ht="30" hidden="1" customHeight="1" x14ac:dyDescent="0.25">
      <c r="C44" s="46"/>
      <c r="H44" s="47"/>
    </row>
    <row r="45" spans="2:12" ht="35.1" customHeight="1" thickTop="1" x14ac:dyDescent="0.25">
      <c r="B45" s="54">
        <f>+B36+0.1</f>
        <v>2.1</v>
      </c>
      <c r="C45" s="28" t="s">
        <v>32</v>
      </c>
      <c r="D45" s="28"/>
      <c r="E45" s="29"/>
      <c r="F45" s="30"/>
      <c r="G45" s="28"/>
      <c r="H45" s="31"/>
      <c r="I45" s="28"/>
      <c r="J45" s="30"/>
    </row>
    <row r="46" spans="2:12" ht="35.1" hidden="1" customHeight="1" x14ac:dyDescent="0.25">
      <c r="B46" s="41">
        <f>+G38</f>
        <v>0</v>
      </c>
      <c r="C46" s="42" t="str">
        <f>+UPPER(C38)</f>
        <v>COST OF GOODS SOLD</v>
      </c>
      <c r="D46" s="42"/>
      <c r="E46" s="43"/>
      <c r="F46" s="44"/>
      <c r="G46" s="42"/>
      <c r="H46" s="45"/>
      <c r="I46" s="42"/>
      <c r="J46" s="44"/>
    </row>
    <row r="47" spans="2:12" ht="24.95" hidden="1" customHeight="1" x14ac:dyDescent="0.25">
      <c r="G47" s="2"/>
    </row>
    <row r="48" spans="2:12" ht="30" hidden="1" customHeight="1" x14ac:dyDescent="0.25">
      <c r="C48" s="2" t="s">
        <v>9</v>
      </c>
      <c r="H48" s="39">
        <f>J48/$J$51</f>
        <v>0.23314531332938787</v>
      </c>
      <c r="J48" s="78">
        <f>[1]Notes!J44</f>
        <v>152851</v>
      </c>
    </row>
    <row r="49" spans="2:19" ht="30" hidden="1" customHeight="1" x14ac:dyDescent="0.25">
      <c r="C49" s="2" t="s">
        <v>10</v>
      </c>
      <c r="G49" s="55" t="e">
        <f>#REF!</f>
        <v>#REF!</v>
      </c>
      <c r="H49" s="39">
        <f>J49/$J$51</f>
        <v>0.52203921879671267</v>
      </c>
      <c r="J49" s="78">
        <f>[1]Notes!J45</f>
        <v>342251</v>
      </c>
    </row>
    <row r="50" spans="2:19" ht="30" hidden="1" customHeight="1" x14ac:dyDescent="0.25">
      <c r="C50" s="2" t="s">
        <v>12</v>
      </c>
      <c r="H50" s="39">
        <f>J50/J51</f>
        <v>0.24481546787389949</v>
      </c>
      <c r="J50" s="78">
        <f>[1]Notes!J46</f>
        <v>160502</v>
      </c>
    </row>
    <row r="51" spans="2:19" ht="30" hidden="1" customHeight="1" x14ac:dyDescent="0.3">
      <c r="H51" s="40">
        <f>SUM(H48:H50)</f>
        <v>1</v>
      </c>
      <c r="J51" s="79">
        <f>SUM(J48:J50)</f>
        <v>655604</v>
      </c>
    </row>
    <row r="52" spans="2:19" ht="24.95" hidden="1" customHeight="1" x14ac:dyDescent="0.25">
      <c r="G52" s="2"/>
    </row>
    <row r="53" spans="2:19" ht="36.75" customHeight="1" x14ac:dyDescent="0.25">
      <c r="C53" s="2" t="s">
        <v>34</v>
      </c>
      <c r="H53" s="39">
        <f>J53/J63</f>
        <v>1.9433967696427031E-2</v>
      </c>
      <c r="J53" s="78">
        <v>8100</v>
      </c>
      <c r="P53" s="5"/>
      <c r="Q53" s="39" t="e">
        <f>S53/S63</f>
        <v>#DIV/0!</v>
      </c>
      <c r="S53" s="56">
        <v>14950</v>
      </c>
    </row>
    <row r="54" spans="2:19" ht="32.25" customHeight="1" x14ac:dyDescent="0.25">
      <c r="C54" s="57" t="s">
        <v>35</v>
      </c>
      <c r="G54" s="58"/>
      <c r="H54" s="39">
        <f>J54/J63</f>
        <v>0.24957053330646167</v>
      </c>
      <c r="J54" s="78">
        <v>104020</v>
      </c>
      <c r="L54" s="57"/>
      <c r="P54" s="87"/>
      <c r="Q54" s="39" t="e">
        <f>S54/S63</f>
        <v>#DIV/0!</v>
      </c>
      <c r="S54" s="56">
        <v>94290</v>
      </c>
    </row>
    <row r="55" spans="2:19" ht="32.25" customHeight="1" x14ac:dyDescent="0.25">
      <c r="C55" s="57" t="s">
        <v>36</v>
      </c>
      <c r="D55" s="2" t="s">
        <v>25</v>
      </c>
      <c r="G55" s="58"/>
      <c r="H55" s="39">
        <f>J55/J63</f>
        <v>0.1426717146997572</v>
      </c>
      <c r="J55" s="78">
        <v>59465</v>
      </c>
      <c r="L55" s="57"/>
      <c r="P55" s="87"/>
      <c r="Q55" s="39" t="e">
        <f>S55/S63</f>
        <v>#DIV/0!</v>
      </c>
      <c r="S55" s="56">
        <v>30240</v>
      </c>
    </row>
    <row r="56" spans="2:19" ht="32.25" customHeight="1" x14ac:dyDescent="0.25">
      <c r="C56" s="57" t="s">
        <v>37</v>
      </c>
      <c r="G56" s="58"/>
      <c r="H56" s="39">
        <f>J56/J63</f>
        <v>8.447777809767848E-2</v>
      </c>
      <c r="J56" s="78">
        <v>35210</v>
      </c>
      <c r="L56" s="57"/>
      <c r="P56" s="87"/>
      <c r="Q56" s="39" t="e">
        <f>S56/S63</f>
        <v>#DIV/0!</v>
      </c>
      <c r="S56" s="56">
        <v>51060</v>
      </c>
    </row>
    <row r="57" spans="2:19" ht="32.25" customHeight="1" x14ac:dyDescent="0.25">
      <c r="C57" s="57" t="s">
        <v>38</v>
      </c>
      <c r="G57" s="58"/>
      <c r="H57" s="39">
        <f>J57/J63</f>
        <v>0.12201412681503661</v>
      </c>
      <c r="J57" s="78">
        <v>50855</v>
      </c>
      <c r="L57" s="57"/>
      <c r="P57" s="87"/>
      <c r="Q57" s="39" t="e">
        <f>S57/S63</f>
        <v>#DIV/0!</v>
      </c>
      <c r="S57" s="56">
        <v>58440</v>
      </c>
    </row>
    <row r="58" spans="2:19" ht="32.25" customHeight="1" x14ac:dyDescent="0.25">
      <c r="C58" s="57" t="s">
        <v>39</v>
      </c>
      <c r="G58" s="58"/>
      <c r="H58" s="39">
        <f>J58/J63</f>
        <v>2.6559755851783606E-2</v>
      </c>
      <c r="J58" s="78">
        <v>11070</v>
      </c>
      <c r="L58" s="57"/>
      <c r="P58" s="87"/>
      <c r="Q58" s="39" t="e">
        <f>S58/S63</f>
        <v>#DIV/0!</v>
      </c>
      <c r="S58" s="56">
        <v>10080</v>
      </c>
    </row>
    <row r="59" spans="2:19" ht="32.25" customHeight="1" x14ac:dyDescent="0.25">
      <c r="C59" s="57" t="s">
        <v>40</v>
      </c>
      <c r="G59" s="58"/>
      <c r="H59" s="39">
        <f>J59/J63</f>
        <v>1.6842772003570091E-2</v>
      </c>
      <c r="J59" s="78">
        <v>7020</v>
      </c>
      <c r="L59" s="57"/>
      <c r="P59" s="87"/>
      <c r="Q59" s="39" t="e">
        <f>S59/S63</f>
        <v>#DIV/0!</v>
      </c>
      <c r="S59" s="56">
        <v>60690</v>
      </c>
    </row>
    <row r="60" spans="2:19" ht="32.25" customHeight="1" x14ac:dyDescent="0.25">
      <c r="C60" s="57" t="s">
        <v>41</v>
      </c>
      <c r="G60" s="58"/>
      <c r="H60" s="39">
        <f>J60/J63</f>
        <v>6.0797128571291471E-2</v>
      </c>
      <c r="J60" s="78">
        <v>25340</v>
      </c>
      <c r="L60" s="57"/>
      <c r="P60" s="87"/>
      <c r="Q60" s="39"/>
      <c r="S60" s="59"/>
    </row>
    <row r="61" spans="2:19" ht="32.25" customHeight="1" x14ac:dyDescent="0.25">
      <c r="C61" s="57" t="s">
        <v>42</v>
      </c>
      <c r="G61" s="58"/>
      <c r="H61" s="39">
        <f>J61/J63</f>
        <v>0.10868626378372154</v>
      </c>
      <c r="J61" s="78">
        <v>45300</v>
      </c>
      <c r="L61" s="57"/>
      <c r="P61" s="87"/>
      <c r="Q61" s="39"/>
      <c r="S61" s="59"/>
    </row>
    <row r="62" spans="2:19" ht="32.25" customHeight="1" x14ac:dyDescent="0.25">
      <c r="C62" s="57" t="s">
        <v>43</v>
      </c>
      <c r="G62" s="58"/>
      <c r="H62" s="39">
        <f>J62/J63</f>
        <v>0.1689459591742723</v>
      </c>
      <c r="J62" s="78">
        <v>70416</v>
      </c>
      <c r="L62" s="57"/>
      <c r="P62" s="87"/>
      <c r="Q62" s="39"/>
      <c r="S62" s="59"/>
    </row>
    <row r="63" spans="2:19" ht="32.25" customHeight="1" thickBot="1" x14ac:dyDescent="0.3">
      <c r="C63" s="57"/>
      <c r="G63" s="58"/>
      <c r="H63" s="40">
        <f>SUM(H53:H62)</f>
        <v>1</v>
      </c>
      <c r="J63" s="79">
        <f>SUM(J53:J62)</f>
        <v>416796</v>
      </c>
      <c r="M63" s="3"/>
    </row>
    <row r="64" spans="2:19" ht="34.5" customHeight="1" thickTop="1" x14ac:dyDescent="0.25">
      <c r="B64" s="27">
        <f>+B36+1</f>
        <v>3</v>
      </c>
      <c r="C64" s="28" t="s">
        <v>44</v>
      </c>
      <c r="D64" s="28"/>
      <c r="E64" s="29"/>
      <c r="F64" s="30"/>
      <c r="G64" s="28"/>
      <c r="H64" s="31"/>
      <c r="I64" s="28"/>
      <c r="J64" s="30"/>
    </row>
    <row r="65" spans="3:13" ht="30" customHeight="1" x14ac:dyDescent="0.25">
      <c r="C65" s="57" t="str">
        <f>[1]Trial!$B$97</f>
        <v>Wages &amp; Salaries</v>
      </c>
      <c r="H65" s="39">
        <f>J65/J90</f>
        <v>0.31216658806626746</v>
      </c>
      <c r="J65" s="78">
        <f>SUM(F66:F72)</f>
        <v>234415</v>
      </c>
      <c r="M65" s="2">
        <v>153480</v>
      </c>
    </row>
    <row r="66" spans="3:13" ht="30" customHeight="1" x14ac:dyDescent="0.25">
      <c r="D66" s="2" t="str">
        <f>'[1]PL (2)'!C39</f>
        <v xml:space="preserve">         MUHAMMAD ZUBAIR KAMRAN </v>
      </c>
      <c r="F66" s="60">
        <v>50000</v>
      </c>
      <c r="H66" s="39" t="s">
        <v>47</v>
      </c>
      <c r="J66" s="81" t="s">
        <v>47</v>
      </c>
    </row>
    <row r="67" spans="3:13" ht="30" customHeight="1" x14ac:dyDescent="0.25">
      <c r="D67" s="2" t="str">
        <f>'[1]PL (2)'!C40</f>
        <v xml:space="preserve">         MUHAMMAD BILAL </v>
      </c>
      <c r="F67" s="61">
        <v>37580</v>
      </c>
      <c r="H67" s="39" t="s">
        <v>47</v>
      </c>
      <c r="J67" s="81" t="s">
        <v>47</v>
      </c>
    </row>
    <row r="68" spans="3:13" ht="30" customHeight="1" x14ac:dyDescent="0.25">
      <c r="D68" s="2" t="str">
        <f>'[1]PL (2)'!C41</f>
        <v xml:space="preserve">         MUHAMMAD BABAR </v>
      </c>
      <c r="F68" s="61">
        <v>20000</v>
      </c>
      <c r="H68" s="39" t="s">
        <v>47</v>
      </c>
      <c r="J68" s="81" t="s">
        <v>47</v>
      </c>
    </row>
    <row r="69" spans="3:13" ht="30" customHeight="1" x14ac:dyDescent="0.25">
      <c r="D69" s="5" t="s">
        <v>49</v>
      </c>
      <c r="F69" s="61">
        <v>75000</v>
      </c>
      <c r="H69" s="39" t="s">
        <v>47</v>
      </c>
      <c r="J69" s="81" t="s">
        <v>47</v>
      </c>
    </row>
    <row r="70" spans="3:13" ht="30" customHeight="1" x14ac:dyDescent="0.25">
      <c r="D70" s="2" t="str">
        <f>'[1]PL (2)'!C43</f>
        <v xml:space="preserve">         EHTISHAM AJAZ</v>
      </c>
      <c r="F70" s="61">
        <v>35000</v>
      </c>
      <c r="H70" s="39" t="s">
        <v>47</v>
      </c>
      <c r="J70" s="81" t="s">
        <v>47</v>
      </c>
    </row>
    <row r="71" spans="3:13" ht="30" customHeight="1" x14ac:dyDescent="0.25">
      <c r="D71" s="5" t="s">
        <v>51</v>
      </c>
      <c r="F71" s="61">
        <v>5835</v>
      </c>
      <c r="H71" s="39"/>
      <c r="J71" s="81"/>
    </row>
    <row r="72" spans="3:13" ht="30" customHeight="1" x14ac:dyDescent="0.25">
      <c r="D72" s="2" t="str">
        <f>'[1]PL (2)'!C44</f>
        <v xml:space="preserve">         MUHAMMAD MUMTAZ</v>
      </c>
      <c r="F72" s="62">
        <f>'[1]PL (2)'!E44</f>
        <v>11000</v>
      </c>
      <c r="H72" s="39" t="s">
        <v>47</v>
      </c>
      <c r="J72" s="81" t="s">
        <v>47</v>
      </c>
    </row>
    <row r="73" spans="3:13" ht="30" customHeight="1" x14ac:dyDescent="0.25">
      <c r="C73" s="57" t="str">
        <f>[1]Trial!B101</f>
        <v>Accounting &amp; Legal</v>
      </c>
      <c r="H73" s="39">
        <f>J73/J90</f>
        <v>3.9950505052953202E-2</v>
      </c>
      <c r="J73" s="78">
        <f>'[1]May P&amp;L 2024'!C56</f>
        <v>30000</v>
      </c>
    </row>
    <row r="74" spans="3:13" ht="24" customHeight="1" x14ac:dyDescent="0.25">
      <c r="C74" s="57" t="str">
        <f>[1]Trial!B106</f>
        <v>Postage &amp; Shipping</v>
      </c>
      <c r="G74" s="63"/>
      <c r="H74" s="39">
        <f>J74/J90</f>
        <v>4.672211565942877E-2</v>
      </c>
      <c r="J74" s="78">
        <f>SUM(F75:F76)</f>
        <v>35085</v>
      </c>
      <c r="M74" s="3">
        <f>J74</f>
        <v>35085</v>
      </c>
    </row>
    <row r="75" spans="3:13" ht="29.25" customHeight="1" x14ac:dyDescent="0.25">
      <c r="C75" s="57"/>
      <c r="D75" s="2" t="s">
        <v>55</v>
      </c>
      <c r="F75" s="60">
        <v>2000</v>
      </c>
      <c r="G75" s="63"/>
      <c r="H75" s="39" t="s">
        <v>47</v>
      </c>
      <c r="J75" s="81" t="s">
        <v>47</v>
      </c>
    </row>
    <row r="76" spans="3:13" ht="29.25" customHeight="1" x14ac:dyDescent="0.25">
      <c r="C76" s="57"/>
      <c r="D76" s="2" t="s">
        <v>56</v>
      </c>
      <c r="F76" s="62">
        <v>33085</v>
      </c>
      <c r="G76" s="63"/>
      <c r="H76" s="39"/>
      <c r="J76" s="81"/>
    </row>
    <row r="77" spans="3:13" ht="30" customHeight="1" x14ac:dyDescent="0.25">
      <c r="C77" s="57" t="s">
        <v>57</v>
      </c>
      <c r="G77" s="63"/>
      <c r="H77" s="39">
        <f>J77/J90</f>
        <v>1.3673726196124116E-2</v>
      </c>
      <c r="J77" s="78">
        <f>[1]Sheet7!C52</f>
        <v>10268</v>
      </c>
      <c r="M77" s="2">
        <v>0</v>
      </c>
    </row>
    <row r="78" spans="3:13" ht="30" customHeight="1" x14ac:dyDescent="0.25">
      <c r="C78" s="57" t="s">
        <v>58</v>
      </c>
      <c r="G78" s="63"/>
      <c r="H78" s="39">
        <f>J78/J90</f>
        <v>8.0243758805590704E-2</v>
      </c>
      <c r="J78" s="78">
        <f>[1]Sheet7!C48</f>
        <v>60257.38</v>
      </c>
      <c r="M78" s="3">
        <f>J78</f>
        <v>60257.38</v>
      </c>
    </row>
    <row r="79" spans="3:13" ht="30" hidden="1" customHeight="1" x14ac:dyDescent="0.25">
      <c r="C79" s="57" t="s">
        <v>59</v>
      </c>
      <c r="G79" s="63"/>
      <c r="H79" s="39">
        <f>J79/J90</f>
        <v>0</v>
      </c>
      <c r="J79" s="78">
        <v>0</v>
      </c>
    </row>
    <row r="80" spans="3:13" ht="30" customHeight="1" x14ac:dyDescent="0.25">
      <c r="C80" s="57" t="s">
        <v>60</v>
      </c>
      <c r="G80" s="63"/>
      <c r="H80" s="39">
        <f>J80/J90</f>
        <v>8.7371754550808652E-3</v>
      </c>
      <c r="J80" s="78">
        <f>[1]Sheet7!C58</f>
        <v>6561</v>
      </c>
      <c r="M80" s="3">
        <f t="shared" ref="M80:M81" si="3">J80</f>
        <v>6561</v>
      </c>
    </row>
    <row r="81" spans="2:19" ht="30" customHeight="1" x14ac:dyDescent="0.25">
      <c r="C81" s="57" t="s">
        <v>61</v>
      </c>
      <c r="G81" s="63"/>
      <c r="H81" s="39">
        <f>J81/J90</f>
        <v>8.4532605325045446E-3</v>
      </c>
      <c r="J81" s="78">
        <f>[1]Sheet7!C49</f>
        <v>6347.8</v>
      </c>
      <c r="M81" s="3">
        <f t="shared" si="3"/>
        <v>6347.8</v>
      </c>
    </row>
    <row r="82" spans="2:19" ht="30" customHeight="1" x14ac:dyDescent="0.25">
      <c r="C82" s="57" t="str">
        <f>[1]Trial!B108</f>
        <v>LaVilla Card Charges</v>
      </c>
      <c r="G82" s="63"/>
      <c r="H82" s="39">
        <f>J82/J90</f>
        <v>1.0786636364297365E-3</v>
      </c>
      <c r="J82" s="78">
        <f>[1]Sheet7!C53</f>
        <v>810</v>
      </c>
      <c r="M82" s="3">
        <f>J82</f>
        <v>810</v>
      </c>
    </row>
    <row r="83" spans="2:19" ht="27" customHeight="1" x14ac:dyDescent="0.25">
      <c r="C83" s="57" t="str">
        <f>[1]Trial!B112</f>
        <v>Rent</v>
      </c>
      <c r="G83" s="63"/>
      <c r="H83" s="39">
        <f>J83/J90</f>
        <v>0.41948030305600859</v>
      </c>
      <c r="J83" s="78">
        <f>SUM(F84:F85)</f>
        <v>315000</v>
      </c>
      <c r="M83" s="2">
        <v>65000</v>
      </c>
    </row>
    <row r="84" spans="2:19" ht="24" customHeight="1" x14ac:dyDescent="0.25">
      <c r="C84" s="57"/>
      <c r="D84" s="2" t="s">
        <v>64</v>
      </c>
      <c r="F84" s="64">
        <v>65000</v>
      </c>
      <c r="G84" s="63"/>
      <c r="H84" s="39"/>
      <c r="J84" s="78"/>
    </row>
    <row r="85" spans="2:19" ht="24" customHeight="1" x14ac:dyDescent="0.25">
      <c r="C85" s="57"/>
      <c r="D85" s="2" t="s">
        <v>65</v>
      </c>
      <c r="F85" s="65">
        <v>250000</v>
      </c>
      <c r="G85" s="63"/>
      <c r="H85" s="39"/>
      <c r="J85" s="78"/>
    </row>
    <row r="86" spans="2:19" ht="30" customHeight="1" x14ac:dyDescent="0.25">
      <c r="C86" s="2" t="str">
        <f>[1]Trial!B114</f>
        <v>Internet</v>
      </c>
      <c r="G86" s="63"/>
      <c r="H86" s="39">
        <f>J86/J90</f>
        <v>8.785116061144408E-3</v>
      </c>
      <c r="J86" s="78">
        <f>[1]Sheet7!C56</f>
        <v>6597</v>
      </c>
      <c r="M86" s="3">
        <f>J86</f>
        <v>6597</v>
      </c>
    </row>
    <row r="87" spans="2:19" ht="30" customHeight="1" x14ac:dyDescent="0.25">
      <c r="C87" s="2" t="s">
        <v>67</v>
      </c>
      <c r="G87" s="63"/>
      <c r="H87" s="39">
        <f>J87/J90</f>
        <v>3.4463969025680958E-3</v>
      </c>
      <c r="J87" s="78">
        <f>[1]Sheet7!C57</f>
        <v>2588</v>
      </c>
      <c r="M87" s="3">
        <f>J87</f>
        <v>2588</v>
      </c>
    </row>
    <row r="88" spans="2:19" ht="30" customHeight="1" x14ac:dyDescent="0.25">
      <c r="C88" s="2" t="s">
        <v>68</v>
      </c>
      <c r="G88" s="63"/>
      <c r="H88" s="39">
        <f>J88/J90</f>
        <v>5.5930707074134479E-2</v>
      </c>
      <c r="J88" s="78">
        <f>[1]Sheet7!C59</f>
        <v>42000</v>
      </c>
      <c r="M88" s="3">
        <f>J88</f>
        <v>42000</v>
      </c>
    </row>
    <row r="89" spans="2:19" ht="30" customHeight="1" x14ac:dyDescent="0.25">
      <c r="C89" s="2" t="s">
        <v>69</v>
      </c>
      <c r="G89" s="63"/>
      <c r="H89" s="39">
        <f>J89/J90</f>
        <v>1.3316835017651066E-3</v>
      </c>
      <c r="J89" s="78">
        <f>[1]Sheet7!C51</f>
        <v>1000</v>
      </c>
      <c r="M89" s="3">
        <f>J89</f>
        <v>1000</v>
      </c>
    </row>
    <row r="90" spans="2:19" ht="30" customHeight="1" thickBot="1" x14ac:dyDescent="0.3">
      <c r="C90" s="66"/>
      <c r="H90" s="40">
        <f>SUM(H65:H89)</f>
        <v>1</v>
      </c>
      <c r="J90" s="79">
        <f>SUM(J65:J89)</f>
        <v>750929.17999999993</v>
      </c>
      <c r="M90" s="49">
        <f>SUM(M65:M89)</f>
        <v>379726.18</v>
      </c>
    </row>
    <row r="91" spans="2:19" ht="35.1" customHeight="1" thickTop="1" x14ac:dyDescent="0.25">
      <c r="B91" s="27">
        <f>+B64+1</f>
        <v>4</v>
      </c>
      <c r="C91" s="28" t="s">
        <v>70</v>
      </c>
      <c r="D91" s="28"/>
      <c r="E91" s="29"/>
      <c r="F91" s="30"/>
      <c r="G91" s="28"/>
      <c r="H91" s="31"/>
      <c r="I91" s="28"/>
      <c r="J91" s="30"/>
    </row>
    <row r="92" spans="2:19" ht="24.95" customHeight="1" x14ac:dyDescent="0.25">
      <c r="C92" s="2" t="s">
        <v>71</v>
      </c>
      <c r="H92" s="39" t="s">
        <v>47</v>
      </c>
      <c r="J92" s="78">
        <f>SUM(F93:F95)</f>
        <v>73281</v>
      </c>
    </row>
    <row r="93" spans="2:19" ht="24.95" customHeight="1" x14ac:dyDescent="0.25">
      <c r="D93" s="2" t="s">
        <v>72</v>
      </c>
      <c r="F93" s="60">
        <v>60000</v>
      </c>
      <c r="H93" s="39">
        <f>F93/J96</f>
        <v>0.81876611945797684</v>
      </c>
      <c r="J93" s="81" t="s">
        <v>47</v>
      </c>
      <c r="S93" s="3">
        <f>J92-F93</f>
        <v>13281</v>
      </c>
    </row>
    <row r="94" spans="2:19" ht="24.95" customHeight="1" x14ac:dyDescent="0.25">
      <c r="D94" s="2" t="s">
        <v>73</v>
      </c>
      <c r="F94" s="62">
        <v>13281</v>
      </c>
      <c r="H94" s="39">
        <f>F94/J96</f>
        <v>0.18123388054202316</v>
      </c>
      <c r="J94" s="81" t="s">
        <v>47</v>
      </c>
      <c r="S94" s="2">
        <v>400000</v>
      </c>
    </row>
    <row r="95" spans="2:19" ht="24.95" hidden="1" customHeight="1" x14ac:dyDescent="0.25">
      <c r="D95" s="2" t="s">
        <v>74</v>
      </c>
      <c r="F95" s="62">
        <v>0</v>
      </c>
      <c r="H95" s="39">
        <f>F95/J96</f>
        <v>0</v>
      </c>
      <c r="J95" s="81"/>
      <c r="S95" s="3"/>
    </row>
    <row r="96" spans="2:19" ht="24.75" customHeight="1" thickBot="1" x14ac:dyDescent="0.3">
      <c r="C96" s="46"/>
      <c r="H96" s="40">
        <f>SUM(H93:H95)</f>
        <v>1</v>
      </c>
      <c r="J96" s="79">
        <f>SUM(J92:J95)</f>
        <v>73281</v>
      </c>
    </row>
    <row r="97" spans="2:20" ht="24.75" hidden="1" customHeight="1" x14ac:dyDescent="0.25">
      <c r="C97" s="46"/>
      <c r="H97" s="47"/>
      <c r="J97" s="67"/>
    </row>
    <row r="98" spans="2:20" ht="35.1" customHeight="1" thickTop="1" x14ac:dyDescent="0.25">
      <c r="B98" s="54">
        <v>4.0999999999999996</v>
      </c>
      <c r="C98" s="28" t="s">
        <v>75</v>
      </c>
      <c r="D98" s="28"/>
      <c r="E98" s="29"/>
      <c r="F98" s="30"/>
      <c r="G98" s="28"/>
      <c r="H98" s="31"/>
      <c r="I98" s="28"/>
      <c r="J98" s="30"/>
    </row>
    <row r="99" spans="2:20" ht="24.95" customHeight="1" x14ac:dyDescent="0.25">
      <c r="C99" s="2" t="s">
        <v>76</v>
      </c>
      <c r="H99" s="39">
        <f>J99/J102</f>
        <v>5.1033875934887812E-2</v>
      </c>
      <c r="J99" s="78">
        <f>122000-6000</f>
        <v>116000</v>
      </c>
    </row>
    <row r="100" spans="2:20" ht="24.95" hidden="1" customHeight="1" x14ac:dyDescent="0.25">
      <c r="D100" s="2" t="s">
        <v>72</v>
      </c>
      <c r="F100" s="60">
        <v>0</v>
      </c>
      <c r="H100" s="39" t="s">
        <v>47</v>
      </c>
      <c r="J100" s="81" t="s">
        <v>47</v>
      </c>
      <c r="S100" s="3">
        <f>J99-F100</f>
        <v>116000</v>
      </c>
    </row>
    <row r="101" spans="2:20" ht="24.95" customHeight="1" x14ac:dyDescent="0.25">
      <c r="C101" s="2" t="s">
        <v>77</v>
      </c>
      <c r="H101" s="39">
        <f>J101/J102</f>
        <v>0.94896612406511216</v>
      </c>
      <c r="J101" s="78">
        <v>2157000</v>
      </c>
    </row>
    <row r="102" spans="2:20" ht="24.75" customHeight="1" thickBot="1" x14ac:dyDescent="0.3">
      <c r="C102" s="46"/>
      <c r="H102" s="40">
        <f>SUM(H99:H101)</f>
        <v>1</v>
      </c>
      <c r="J102" s="79">
        <f>SUM(J99:J101)</f>
        <v>2273000</v>
      </c>
    </row>
    <row r="103" spans="2:20" ht="24.75" customHeight="1" thickTop="1" x14ac:dyDescent="0.25">
      <c r="C103" s="46"/>
      <c r="H103" s="47"/>
      <c r="J103" s="67"/>
    </row>
    <row r="104" spans="2:20" ht="24.95" customHeight="1" x14ac:dyDescent="0.25">
      <c r="B104" s="27">
        <f>B91+1</f>
        <v>5</v>
      </c>
      <c r="C104" s="28" t="s">
        <v>78</v>
      </c>
      <c r="D104" s="28"/>
      <c r="E104" s="29"/>
      <c r="F104" s="30"/>
      <c r="G104" s="28"/>
      <c r="H104" s="31"/>
      <c r="I104" s="28"/>
      <c r="J104" s="30"/>
    </row>
    <row r="105" spans="2:20" ht="24.95" customHeight="1" x14ac:dyDescent="0.25">
      <c r="C105" s="2" t="s">
        <v>79</v>
      </c>
      <c r="H105" s="39" t="s">
        <v>47</v>
      </c>
      <c r="J105" s="78">
        <f>SUM(F106:F115)</f>
        <v>3961575</v>
      </c>
    </row>
    <row r="106" spans="2:20" ht="24.95" customHeight="1" x14ac:dyDescent="0.25">
      <c r="D106" s="2" t="s">
        <v>80</v>
      </c>
      <c r="F106" s="64">
        <f>[1]Sheet8!F8</f>
        <v>999945</v>
      </c>
      <c r="H106" s="39">
        <f>F106/J116</f>
        <v>0.25241097290850228</v>
      </c>
      <c r="J106" s="81" t="s">
        <v>47</v>
      </c>
      <c r="L106" s="68"/>
      <c r="M106" s="86"/>
    </row>
    <row r="107" spans="2:20" ht="24.95" customHeight="1" x14ac:dyDescent="0.25">
      <c r="D107" s="2" t="s">
        <v>81</v>
      </c>
      <c r="F107" s="69">
        <f>[1]Sheet8!F10</f>
        <v>979135</v>
      </c>
      <c r="H107" s="39">
        <f>F107/J116</f>
        <v>0.24715801164940712</v>
      </c>
      <c r="J107" s="81" t="s">
        <v>47</v>
      </c>
      <c r="L107" s="68"/>
      <c r="S107" s="61">
        <v>215460</v>
      </c>
      <c r="T107" s="61">
        <v>215460</v>
      </c>
    </row>
    <row r="108" spans="2:20" ht="24.95" customHeight="1" x14ac:dyDescent="0.25">
      <c r="D108" s="2" t="s">
        <v>82</v>
      </c>
      <c r="F108" s="69">
        <f>[1]Sheet8!F14</f>
        <v>382400</v>
      </c>
      <c r="H108" s="39">
        <f>F108/J116</f>
        <v>9.6527265039788465E-2</v>
      </c>
      <c r="J108" s="81"/>
      <c r="L108" s="68"/>
      <c r="S108" s="18"/>
      <c r="T108" s="18"/>
    </row>
    <row r="109" spans="2:20" ht="24.95" customHeight="1" x14ac:dyDescent="0.25">
      <c r="D109" s="2" t="s">
        <v>83</v>
      </c>
      <c r="F109" s="69">
        <f>[1]Sheet8!F9</f>
        <v>18080</v>
      </c>
      <c r="H109" s="39">
        <f>F109/J116</f>
        <v>4.5638414014628021E-3</v>
      </c>
      <c r="J109" s="81"/>
      <c r="L109" s="68"/>
      <c r="S109" s="18"/>
      <c r="T109" s="18"/>
    </row>
    <row r="110" spans="2:20" ht="24.95" customHeight="1" x14ac:dyDescent="0.25">
      <c r="D110" s="2" t="s">
        <v>84</v>
      </c>
      <c r="F110" s="69">
        <f>[1]Sheet8!F12</f>
        <v>83760</v>
      </c>
      <c r="H110" s="39">
        <f>F110/J116</f>
        <v>2.1143105961644044E-2</v>
      </c>
      <c r="J110" s="81" t="s">
        <v>47</v>
      </c>
      <c r="L110" s="68"/>
    </row>
    <row r="111" spans="2:20" ht="24.95" hidden="1" customHeight="1" x14ac:dyDescent="0.25">
      <c r="D111" s="2" t="s">
        <v>85</v>
      </c>
      <c r="F111" s="69">
        <v>0</v>
      </c>
      <c r="H111" s="39">
        <f>F111/J116</f>
        <v>0</v>
      </c>
      <c r="J111" s="81"/>
      <c r="L111" s="68"/>
    </row>
    <row r="112" spans="2:20" ht="24.95" customHeight="1" x14ac:dyDescent="0.25">
      <c r="D112" s="2" t="s">
        <v>86</v>
      </c>
      <c r="F112" s="69">
        <f>[1]Sheet8!F11</f>
        <v>778035</v>
      </c>
      <c r="H112" s="39">
        <f>F112/J116</f>
        <v>0.19639537305238447</v>
      </c>
      <c r="J112" s="81" t="s">
        <v>47</v>
      </c>
      <c r="L112" s="68"/>
    </row>
    <row r="113" spans="1:22" ht="24.95" customHeight="1" x14ac:dyDescent="0.25">
      <c r="D113" s="2" t="s">
        <v>87</v>
      </c>
      <c r="F113" s="69">
        <f>[1]Sheet8!F15</f>
        <v>249274</v>
      </c>
      <c r="H113" s="39">
        <f>F113/J116</f>
        <v>6.292295362324328E-2</v>
      </c>
      <c r="J113" s="81" t="s">
        <v>47</v>
      </c>
      <c r="L113" s="68"/>
      <c r="T113" s="2">
        <v>2679117.75</v>
      </c>
    </row>
    <row r="114" spans="1:22" ht="24.95" customHeight="1" x14ac:dyDescent="0.25">
      <c r="D114" s="2" t="s">
        <v>88</v>
      </c>
      <c r="F114" s="69">
        <f>[1]Sheet8!F13</f>
        <v>101360</v>
      </c>
      <c r="H114" s="39">
        <f>F114/J116</f>
        <v>2.5585783432094559E-2</v>
      </c>
      <c r="J114" s="81">
        <v>0</v>
      </c>
      <c r="L114" s="68"/>
    </row>
    <row r="115" spans="1:22" ht="24.95" customHeight="1" x14ac:dyDescent="0.25">
      <c r="D115" s="2" t="s">
        <v>89</v>
      </c>
      <c r="F115" s="65">
        <f>[1]Sheet8!F16</f>
        <v>369586</v>
      </c>
      <c r="H115" s="39">
        <f>F115/J116</f>
        <v>9.3292692931472965E-2</v>
      </c>
      <c r="J115" s="81" t="s">
        <v>47</v>
      </c>
      <c r="L115" s="68"/>
      <c r="T115" s="3">
        <f>T113-J116</f>
        <v>-1282457.25</v>
      </c>
      <c r="V115" s="2" t="s">
        <v>90</v>
      </c>
    </row>
    <row r="116" spans="1:22" ht="24.95" customHeight="1" thickBot="1" x14ac:dyDescent="0.3">
      <c r="C116" s="46"/>
      <c r="H116" s="40">
        <f>SUM(H106:H115)</f>
        <v>1.0000000000000002</v>
      </c>
      <c r="J116" s="79">
        <f>SUM(J105:J115)</f>
        <v>3961575</v>
      </c>
      <c r="S116" s="2" t="s">
        <v>91</v>
      </c>
      <c r="T116" s="2">
        <f>70980+40040</f>
        <v>111020</v>
      </c>
    </row>
    <row r="117" spans="1:22" ht="35.1" customHeight="1" thickTop="1" x14ac:dyDescent="0.25">
      <c r="A117" s="1"/>
      <c r="B117" s="1"/>
      <c r="C117" s="1"/>
      <c r="D117" s="1"/>
      <c r="E117" s="1"/>
      <c r="F117" s="17"/>
      <c r="G117" s="1"/>
      <c r="H117" s="15"/>
      <c r="I117" s="1"/>
      <c r="J117" s="17"/>
      <c r="K117" s="1"/>
      <c r="T117" s="3">
        <f>T115-T116</f>
        <v>-1393477.25</v>
      </c>
    </row>
    <row r="118" spans="1:22" ht="20.25" x14ac:dyDescent="0.25"/>
    <row r="119" spans="1:22" ht="32.25" customHeight="1" x14ac:dyDescent="0.3">
      <c r="G119" s="21" t="s">
        <v>0</v>
      </c>
      <c r="H119" s="22" t="s">
        <v>1</v>
      </c>
      <c r="J119" s="23" t="s">
        <v>108</v>
      </c>
    </row>
    <row r="120" spans="1:22" ht="24.95" customHeight="1" x14ac:dyDescent="0.25">
      <c r="C120" s="24"/>
      <c r="G120" s="25"/>
      <c r="J120" s="26"/>
      <c r="S120" s="3"/>
    </row>
    <row r="121" spans="1:22" ht="15.95" customHeight="1" x14ac:dyDescent="0.25">
      <c r="B121" s="27">
        <v>4</v>
      </c>
      <c r="C121" s="28" t="s">
        <v>3</v>
      </c>
      <c r="D121" s="28"/>
      <c r="E121" s="29"/>
      <c r="F121" s="30"/>
      <c r="G121" s="28"/>
      <c r="H121" s="31"/>
      <c r="I121" s="28"/>
      <c r="J121" s="30"/>
    </row>
    <row r="122" spans="1:22" ht="15.95" customHeight="1" x14ac:dyDescent="0.25">
      <c r="C122" s="24"/>
      <c r="D122" s="32"/>
      <c r="E122" s="32"/>
      <c r="F122" s="33"/>
      <c r="H122" s="34"/>
      <c r="I122" s="32"/>
      <c r="J122" s="35"/>
    </row>
    <row r="123" spans="1:22" ht="15.95" customHeight="1" x14ac:dyDescent="0.25">
      <c r="C123" s="2" t="s">
        <v>4</v>
      </c>
      <c r="H123" s="34"/>
      <c r="J123" s="82">
        <v>421154.98000000324</v>
      </c>
    </row>
    <row r="124" spans="1:22" ht="15.95" customHeight="1" x14ac:dyDescent="0.25">
      <c r="C124" s="2" t="s">
        <v>5</v>
      </c>
      <c r="G124" s="36"/>
      <c r="H124" s="37"/>
    </row>
    <row r="125" spans="1:22" ht="15.95" customHeight="1" x14ac:dyDescent="0.25">
      <c r="C125" s="2" t="s">
        <v>6</v>
      </c>
      <c r="G125" s="36"/>
      <c r="H125" s="37"/>
      <c r="J125" s="82">
        <v>-621473</v>
      </c>
    </row>
    <row r="126" spans="1:22" ht="15.95" customHeight="1" x14ac:dyDescent="0.25">
      <c r="G126" s="2"/>
    </row>
    <row r="127" spans="1:22" ht="15.95" customHeight="1" thickBot="1" x14ac:dyDescent="0.3">
      <c r="G127" s="36"/>
      <c r="H127" s="37"/>
      <c r="J127" s="83">
        <v>-200318.01999999676</v>
      </c>
    </row>
    <row r="128" spans="1:22" ht="15.95" customHeight="1" thickTop="1" x14ac:dyDescent="0.25">
      <c r="B128" s="27">
        <v>1</v>
      </c>
      <c r="C128" s="28" t="s">
        <v>7</v>
      </c>
      <c r="D128" s="28"/>
      <c r="E128" s="29"/>
      <c r="F128" s="30"/>
      <c r="G128" s="28"/>
      <c r="H128" s="31"/>
      <c r="I128" s="28"/>
      <c r="J128" s="30"/>
    </row>
    <row r="129" spans="2:10" ht="15.95" customHeight="1" x14ac:dyDescent="0.25">
      <c r="B129" s="38" t="s">
        <v>8</v>
      </c>
      <c r="C129" s="2" t="s">
        <v>9</v>
      </c>
      <c r="H129" s="39">
        <v>0.22087405434187862</v>
      </c>
      <c r="J129" s="82">
        <v>641900</v>
      </c>
    </row>
    <row r="130" spans="2:10" ht="15.95" customHeight="1" x14ac:dyDescent="0.25">
      <c r="C130" s="2" t="s">
        <v>10</v>
      </c>
      <c r="G130" s="5">
        <v>1.1000000000000001</v>
      </c>
      <c r="H130" s="39">
        <v>0.75985667156068382</v>
      </c>
      <c r="J130" s="82">
        <v>2208281.09</v>
      </c>
    </row>
    <row r="131" spans="2:10" ht="15.95" customHeight="1" x14ac:dyDescent="0.25">
      <c r="C131" s="2" t="s">
        <v>11</v>
      </c>
      <c r="G131" s="5">
        <v>1.2</v>
      </c>
      <c r="H131" s="39">
        <v>1.9269274097437609E-2</v>
      </c>
      <c r="J131" s="84">
        <v>56000</v>
      </c>
    </row>
    <row r="132" spans="2:10" ht="15.95" customHeight="1" x14ac:dyDescent="0.25">
      <c r="C132" s="2" t="s">
        <v>12</v>
      </c>
      <c r="H132" s="39">
        <v>0</v>
      </c>
      <c r="J132" s="84">
        <v>0</v>
      </c>
    </row>
    <row r="133" spans="2:10" ht="15.95" customHeight="1" thickBot="1" x14ac:dyDescent="0.3">
      <c r="H133" s="40">
        <v>1</v>
      </c>
      <c r="J133" s="83">
        <v>2906181.09</v>
      </c>
    </row>
    <row r="134" spans="2:10" ht="15.95" customHeight="1" thickTop="1" x14ac:dyDescent="0.25">
      <c r="G134" s="2"/>
    </row>
    <row r="135" spans="2:10" ht="15.95" customHeight="1" x14ac:dyDescent="0.25">
      <c r="B135" s="41">
        <v>1.1000000000000001</v>
      </c>
      <c r="C135" s="42" t="s">
        <v>10</v>
      </c>
      <c r="D135" s="42"/>
      <c r="E135" s="43"/>
      <c r="F135" s="44"/>
      <c r="G135" s="42"/>
      <c r="H135" s="45"/>
      <c r="I135" s="42"/>
      <c r="J135" s="44"/>
    </row>
    <row r="136" spans="2:10" ht="15.95" customHeight="1" x14ac:dyDescent="0.25">
      <c r="C136" s="2" t="s">
        <v>13</v>
      </c>
      <c r="H136" s="39">
        <v>1.5306022477419304E-2</v>
      </c>
      <c r="J136" s="82">
        <v>33800</v>
      </c>
    </row>
    <row r="137" spans="2:10" ht="15.95" customHeight="1" x14ac:dyDescent="0.25">
      <c r="C137" s="2" t="s">
        <v>14</v>
      </c>
      <c r="H137" s="39">
        <v>0.10886294823998154</v>
      </c>
      <c r="J137" s="82">
        <v>240399.99</v>
      </c>
    </row>
    <row r="138" spans="2:10" ht="15.95" customHeight="1" x14ac:dyDescent="0.25">
      <c r="C138" s="2" t="s">
        <v>15</v>
      </c>
      <c r="H138" s="39">
        <v>8.6039766794362219E-2</v>
      </c>
      <c r="J138" s="82">
        <v>189999.99</v>
      </c>
    </row>
    <row r="139" spans="2:10" ht="15.95" customHeight="1" x14ac:dyDescent="0.25">
      <c r="C139" s="2" t="s">
        <v>16</v>
      </c>
      <c r="H139" s="39">
        <v>2.2347698498835583E-2</v>
      </c>
      <c r="J139" s="82">
        <v>49350</v>
      </c>
    </row>
    <row r="140" spans="2:10" ht="15.95" customHeight="1" x14ac:dyDescent="0.25">
      <c r="C140" s="2" t="s">
        <v>17</v>
      </c>
      <c r="H140" s="39">
        <v>5.2484255978481442E-2</v>
      </c>
      <c r="J140" s="82">
        <v>115899.99</v>
      </c>
    </row>
    <row r="141" spans="2:10" ht="15.95" customHeight="1" x14ac:dyDescent="0.25">
      <c r="C141" s="2" t="s">
        <v>18</v>
      </c>
      <c r="H141" s="39">
        <v>9.4734316635388116E-2</v>
      </c>
      <c r="J141" s="82">
        <v>209200</v>
      </c>
    </row>
    <row r="142" spans="2:10" ht="15.95" customHeight="1" x14ac:dyDescent="0.25">
      <c r="C142" s="2" t="s">
        <v>19</v>
      </c>
      <c r="H142" s="39">
        <v>3.6680113037602477E-2</v>
      </c>
      <c r="J142" s="82">
        <v>81000</v>
      </c>
    </row>
    <row r="143" spans="2:10" ht="15.95" customHeight="1" x14ac:dyDescent="0.25">
      <c r="C143" s="2" t="s">
        <v>20</v>
      </c>
      <c r="H143" s="39">
        <v>2.5404374585302456E-2</v>
      </c>
      <c r="J143" s="82">
        <v>56100</v>
      </c>
    </row>
    <row r="144" spans="2:10" ht="15.95" customHeight="1" x14ac:dyDescent="0.25">
      <c r="C144" s="2" t="s">
        <v>21</v>
      </c>
      <c r="H144" s="39">
        <v>0.2366093711376209</v>
      </c>
      <c r="J144" s="82">
        <v>522500</v>
      </c>
    </row>
    <row r="145" spans="2:10" ht="15.95" customHeight="1" x14ac:dyDescent="0.25">
      <c r="C145" s="2" t="s">
        <v>22</v>
      </c>
      <c r="H145" s="39">
        <v>8.8802100823133889E-2</v>
      </c>
      <c r="J145" s="82">
        <v>196100</v>
      </c>
    </row>
    <row r="146" spans="2:10" ht="15.95" customHeight="1" x14ac:dyDescent="0.25">
      <c r="C146" s="2" t="s">
        <v>92</v>
      </c>
      <c r="H146" s="39">
        <v>4.8906817383469969E-2</v>
      </c>
      <c r="J146" s="82">
        <v>108000</v>
      </c>
    </row>
    <row r="147" spans="2:10" ht="15.95" customHeight="1" x14ac:dyDescent="0.25">
      <c r="C147" s="2" t="s">
        <v>23</v>
      </c>
      <c r="H147" s="39">
        <v>0.18382221440840216</v>
      </c>
      <c r="J147" s="82">
        <v>405931.12</v>
      </c>
    </row>
    <row r="148" spans="2:10" ht="15.95" customHeight="1" thickBot="1" x14ac:dyDescent="0.3">
      <c r="C148" s="46"/>
      <c r="H148" s="40">
        <v>1</v>
      </c>
      <c r="J148" s="83">
        <v>2208281.09</v>
      </c>
    </row>
    <row r="149" spans="2:10" ht="15.95" customHeight="1" thickTop="1" x14ac:dyDescent="0.25">
      <c r="C149" s="46"/>
      <c r="H149" s="47"/>
      <c r="J149" s="70"/>
    </row>
    <row r="150" spans="2:10" ht="15.95" customHeight="1" x14ac:dyDescent="0.25">
      <c r="B150" s="41">
        <v>1.2</v>
      </c>
      <c r="C150" s="42" t="s">
        <v>11</v>
      </c>
      <c r="D150" s="42"/>
      <c r="E150" s="43"/>
      <c r="F150" s="44"/>
      <c r="G150" s="42"/>
      <c r="H150" s="45"/>
      <c r="I150" s="42"/>
      <c r="J150" s="44"/>
    </row>
    <row r="151" spans="2:10" ht="15.95" customHeight="1" x14ac:dyDescent="0.25">
      <c r="C151" s="2" t="s">
        <v>93</v>
      </c>
      <c r="E151" s="2" t="s">
        <v>25</v>
      </c>
      <c r="H151" s="39">
        <v>1</v>
      </c>
      <c r="J151" s="82">
        <v>56000</v>
      </c>
    </row>
    <row r="152" spans="2:10" ht="15.95" customHeight="1" thickBot="1" x14ac:dyDescent="0.3">
      <c r="C152" s="46"/>
      <c r="H152" s="40">
        <v>1</v>
      </c>
      <c r="J152" s="83">
        <v>56000</v>
      </c>
    </row>
    <row r="153" spans="2:10" ht="15.95" customHeight="1" thickTop="1" x14ac:dyDescent="0.25"/>
    <row r="154" spans="2:10" ht="15.95" customHeight="1" x14ac:dyDescent="0.25">
      <c r="B154" s="27">
        <v>2</v>
      </c>
      <c r="C154" s="28" t="s">
        <v>26</v>
      </c>
      <c r="D154" s="28"/>
      <c r="E154" s="29"/>
      <c r="F154" s="30"/>
      <c r="G154" s="28"/>
      <c r="H154" s="31"/>
      <c r="I154" s="28"/>
      <c r="J154" s="30"/>
    </row>
    <row r="155" spans="2:10" ht="15.95" customHeight="1" x14ac:dyDescent="0.25">
      <c r="C155" s="24"/>
      <c r="D155" s="50"/>
      <c r="E155" s="50"/>
      <c r="F155" s="51"/>
      <c r="G155" s="52"/>
      <c r="H155" s="53"/>
      <c r="I155" s="50"/>
      <c r="J155" s="51"/>
    </row>
    <row r="156" spans="2:10" ht="15.95" customHeight="1" x14ac:dyDescent="0.25">
      <c r="C156" s="2" t="s">
        <v>27</v>
      </c>
      <c r="H156" s="39">
        <v>0.70255687928625832</v>
      </c>
      <c r="J156" s="82">
        <v>1123665.7</v>
      </c>
    </row>
    <row r="157" spans="2:10" ht="15.95" customHeight="1" x14ac:dyDescent="0.25">
      <c r="C157" s="2" t="s">
        <v>28</v>
      </c>
      <c r="H157" s="39">
        <v>6.3001149378624586E-3</v>
      </c>
      <c r="J157" s="82">
        <v>10076.370000000001</v>
      </c>
    </row>
    <row r="158" spans="2:10" ht="15.95" customHeight="1" x14ac:dyDescent="0.25">
      <c r="C158" s="2" t="s">
        <v>29</v>
      </c>
      <c r="G158" s="5">
        <v>2.1</v>
      </c>
      <c r="H158" s="39">
        <v>0.28349495583838491</v>
      </c>
      <c r="J158" s="82">
        <v>453420.31</v>
      </c>
    </row>
    <row r="159" spans="2:10" ht="15.95" customHeight="1" x14ac:dyDescent="0.25">
      <c r="C159" s="2" t="s">
        <v>30</v>
      </c>
      <c r="H159" s="39">
        <v>0</v>
      </c>
      <c r="J159" s="82">
        <v>0</v>
      </c>
    </row>
    <row r="160" spans="2:10" ht="15.95" customHeight="1" x14ac:dyDescent="0.25">
      <c r="C160" s="2" t="s">
        <v>31</v>
      </c>
      <c r="H160" s="39">
        <v>7.6480499374941627E-3</v>
      </c>
      <c r="J160" s="82">
        <v>12232.25</v>
      </c>
    </row>
    <row r="161" spans="2:10" ht="15.95" customHeight="1" thickBot="1" x14ac:dyDescent="0.3">
      <c r="C161" s="46"/>
      <c r="H161" s="40">
        <v>0.99999999999999978</v>
      </c>
      <c r="J161" s="83">
        <v>1599394.6300000001</v>
      </c>
    </row>
    <row r="162" spans="2:10" ht="15.95" customHeight="1" thickTop="1" x14ac:dyDescent="0.25">
      <c r="C162" s="46"/>
      <c r="H162" s="47"/>
    </row>
    <row r="163" spans="2:10" ht="15.95" customHeight="1" x14ac:dyDescent="0.25">
      <c r="B163" s="54">
        <v>2.1</v>
      </c>
      <c r="C163" s="28" t="s">
        <v>32</v>
      </c>
      <c r="D163" s="28"/>
      <c r="E163" s="29"/>
      <c r="F163" s="30"/>
      <c r="G163" s="28"/>
      <c r="H163" s="31"/>
      <c r="I163" s="28"/>
      <c r="J163" s="30"/>
    </row>
    <row r="164" spans="2:10" ht="15.95" customHeight="1" x14ac:dyDescent="0.25">
      <c r="B164" s="41">
        <v>0</v>
      </c>
      <c r="C164" s="42" t="s">
        <v>33</v>
      </c>
      <c r="D164" s="42"/>
      <c r="E164" s="43"/>
      <c r="F164" s="44"/>
      <c r="G164" s="42"/>
      <c r="H164" s="45"/>
      <c r="I164" s="42"/>
      <c r="J164" s="44"/>
    </row>
    <row r="165" spans="2:10" ht="15.95" customHeight="1" x14ac:dyDescent="0.25">
      <c r="G165" s="2"/>
    </row>
    <row r="166" spans="2:10" ht="15.95" customHeight="1" x14ac:dyDescent="0.25">
      <c r="C166" s="2" t="s">
        <v>9</v>
      </c>
      <c r="H166" s="39">
        <v>0.23314531332938787</v>
      </c>
      <c r="J166" s="82">
        <v>152851</v>
      </c>
    </row>
    <row r="167" spans="2:10" ht="15.95" customHeight="1" x14ac:dyDescent="0.25">
      <c r="C167" s="2" t="s">
        <v>10</v>
      </c>
      <c r="G167" s="55" t="e">
        <v>#REF!</v>
      </c>
      <c r="H167" s="39">
        <v>0.52203921879671267</v>
      </c>
      <c r="J167" s="82">
        <v>342251</v>
      </c>
    </row>
    <row r="168" spans="2:10" ht="15.95" customHeight="1" x14ac:dyDescent="0.25">
      <c r="C168" s="2" t="s">
        <v>12</v>
      </c>
      <c r="H168" s="39">
        <v>0.24481546787389949</v>
      </c>
      <c r="J168" s="82">
        <v>160502</v>
      </c>
    </row>
    <row r="169" spans="2:10" ht="15.95" customHeight="1" thickBot="1" x14ac:dyDescent="0.3">
      <c r="H169" s="40">
        <v>1</v>
      </c>
      <c r="J169" s="83">
        <v>655604</v>
      </c>
    </row>
    <row r="170" spans="2:10" ht="15.95" customHeight="1" thickTop="1" x14ac:dyDescent="0.25">
      <c r="G170" s="2"/>
    </row>
    <row r="171" spans="2:10" ht="15.95" customHeight="1" x14ac:dyDescent="0.25">
      <c r="C171" s="2" t="s">
        <v>34</v>
      </c>
      <c r="H171" s="39">
        <v>1.8636130348902987E-2</v>
      </c>
      <c r="J171" s="82">
        <v>8450</v>
      </c>
    </row>
    <row r="172" spans="2:10" ht="15.95" customHeight="1" x14ac:dyDescent="0.25">
      <c r="C172" s="57" t="s">
        <v>35</v>
      </c>
      <c r="G172" s="58"/>
      <c r="H172" s="39">
        <v>0.18556733817239021</v>
      </c>
      <c r="J172" s="82">
        <v>84140</v>
      </c>
    </row>
    <row r="173" spans="2:10" ht="15.95" customHeight="1" x14ac:dyDescent="0.25">
      <c r="C173" s="57" t="s">
        <v>36</v>
      </c>
      <c r="D173" s="2" t="s">
        <v>25</v>
      </c>
      <c r="G173" s="58"/>
      <c r="H173" s="39">
        <v>0.14666303765704716</v>
      </c>
      <c r="J173" s="82">
        <v>66500</v>
      </c>
    </row>
    <row r="174" spans="2:10" ht="15.95" customHeight="1" x14ac:dyDescent="0.25">
      <c r="C174" s="57" t="s">
        <v>37</v>
      </c>
      <c r="G174" s="58"/>
      <c r="H174" s="39">
        <v>3.8093794254606725E-2</v>
      </c>
      <c r="J174" s="82">
        <v>17272.5</v>
      </c>
    </row>
    <row r="175" spans="2:10" ht="15.95" customHeight="1" x14ac:dyDescent="0.25">
      <c r="C175" s="57" t="s">
        <v>38</v>
      </c>
      <c r="G175" s="58"/>
      <c r="H175" s="39">
        <v>8.9464452970798775E-2</v>
      </c>
      <c r="J175" s="82">
        <v>40565</v>
      </c>
    </row>
    <row r="176" spans="2:10" ht="15.95" customHeight="1" x14ac:dyDescent="0.25">
      <c r="C176" s="57" t="s">
        <v>39</v>
      </c>
      <c r="G176" s="58"/>
      <c r="H176" s="39">
        <v>3.711787855290382E-2</v>
      </c>
      <c r="J176" s="82">
        <v>16830</v>
      </c>
    </row>
    <row r="177" spans="2:10" ht="15.95" customHeight="1" x14ac:dyDescent="0.25">
      <c r="C177" s="57" t="s">
        <v>40</v>
      </c>
      <c r="G177" s="58"/>
      <c r="H177" s="39">
        <v>3.5728439248784424E-2</v>
      </c>
      <c r="J177" s="82">
        <v>16200</v>
      </c>
    </row>
    <row r="178" spans="2:10" ht="15.95" customHeight="1" x14ac:dyDescent="0.25">
      <c r="C178" s="57" t="s">
        <v>41</v>
      </c>
      <c r="G178" s="58"/>
      <c r="H178" s="39">
        <v>8.6498110329464514E-2</v>
      </c>
      <c r="J178" s="82">
        <v>39220</v>
      </c>
    </row>
    <row r="179" spans="2:10" ht="15.95" customHeight="1" x14ac:dyDescent="0.25">
      <c r="C179" s="57" t="s">
        <v>42</v>
      </c>
      <c r="G179" s="58"/>
      <c r="H179" s="39">
        <v>0.13841462020084633</v>
      </c>
      <c r="J179" s="82">
        <v>62760</v>
      </c>
    </row>
    <row r="180" spans="2:10" ht="15.95" customHeight="1" x14ac:dyDescent="0.25">
      <c r="C180" s="57" t="s">
        <v>43</v>
      </c>
      <c r="G180" s="58"/>
      <c r="H180" s="39">
        <v>0.22381619826425508</v>
      </c>
      <c r="J180" s="82">
        <v>101482.81</v>
      </c>
    </row>
    <row r="181" spans="2:10" ht="15.95" customHeight="1" thickBot="1" x14ac:dyDescent="0.3">
      <c r="C181" s="57"/>
      <c r="G181" s="58"/>
      <c r="H181" s="40">
        <v>1</v>
      </c>
      <c r="J181" s="83">
        <v>453420.31</v>
      </c>
    </row>
    <row r="182" spans="2:10" ht="15.95" customHeight="1" thickTop="1" x14ac:dyDescent="0.25">
      <c r="B182" s="27">
        <v>3</v>
      </c>
      <c r="C182" s="28" t="s">
        <v>44</v>
      </c>
      <c r="D182" s="28"/>
      <c r="E182" s="29"/>
      <c r="F182" s="30"/>
      <c r="G182" s="28"/>
      <c r="H182" s="31"/>
      <c r="I182" s="28"/>
      <c r="J182" s="30"/>
    </row>
    <row r="183" spans="2:10" ht="15.95" customHeight="1" x14ac:dyDescent="0.25">
      <c r="C183" s="57" t="s">
        <v>45</v>
      </c>
      <c r="H183" s="39">
        <v>0.21788808961131667</v>
      </c>
      <c r="J183" s="82">
        <v>226000</v>
      </c>
    </row>
    <row r="184" spans="2:10" ht="15.95" customHeight="1" x14ac:dyDescent="0.25">
      <c r="D184" s="2" t="s">
        <v>46</v>
      </c>
      <c r="F184" s="60">
        <v>50000</v>
      </c>
      <c r="H184" s="39" t="s">
        <v>47</v>
      </c>
      <c r="J184" s="85" t="s">
        <v>47</v>
      </c>
    </row>
    <row r="185" spans="2:10" ht="15.95" customHeight="1" x14ac:dyDescent="0.25">
      <c r="D185" s="2" t="s">
        <v>48</v>
      </c>
      <c r="F185" s="61">
        <v>20000</v>
      </c>
      <c r="H185" s="39" t="s">
        <v>47</v>
      </c>
      <c r="J185" s="85" t="s">
        <v>47</v>
      </c>
    </row>
    <row r="186" spans="2:10" ht="15.95" customHeight="1" x14ac:dyDescent="0.25">
      <c r="D186" s="5" t="s">
        <v>49</v>
      </c>
      <c r="F186" s="61">
        <v>75000</v>
      </c>
      <c r="H186" s="39" t="s">
        <v>47</v>
      </c>
      <c r="J186" s="85" t="s">
        <v>47</v>
      </c>
    </row>
    <row r="187" spans="2:10" ht="15.95" customHeight="1" x14ac:dyDescent="0.25">
      <c r="D187" s="2" t="s">
        <v>50</v>
      </c>
      <c r="F187" s="61">
        <v>35000</v>
      </c>
      <c r="H187" s="39" t="s">
        <v>47</v>
      </c>
      <c r="J187" s="85" t="s">
        <v>47</v>
      </c>
    </row>
    <row r="188" spans="2:10" ht="15.95" customHeight="1" x14ac:dyDescent="0.25">
      <c r="D188" s="71" t="s">
        <v>94</v>
      </c>
      <c r="F188" s="61">
        <v>35000</v>
      </c>
      <c r="H188" s="39" t="s">
        <v>47</v>
      </c>
      <c r="J188" s="85" t="s">
        <v>47</v>
      </c>
    </row>
    <row r="189" spans="2:10" ht="15.95" customHeight="1" x14ac:dyDescent="0.25">
      <c r="D189" s="2" t="s">
        <v>52</v>
      </c>
      <c r="F189" s="62">
        <v>11000</v>
      </c>
      <c r="H189" s="39" t="s">
        <v>47</v>
      </c>
      <c r="J189" s="85" t="s">
        <v>47</v>
      </c>
    </row>
    <row r="190" spans="2:10" ht="15.95" customHeight="1" x14ac:dyDescent="0.25">
      <c r="C190" s="57" t="s">
        <v>53</v>
      </c>
      <c r="H190" s="39">
        <v>3.8564263648020652E-2</v>
      </c>
      <c r="J190" s="82">
        <v>40000</v>
      </c>
    </row>
    <row r="191" spans="2:10" ht="15.95" customHeight="1" x14ac:dyDescent="0.25">
      <c r="C191" s="57"/>
      <c r="D191" s="2" t="s">
        <v>95</v>
      </c>
      <c r="F191" s="60">
        <v>30000</v>
      </c>
      <c r="H191" s="39"/>
      <c r="J191" s="82"/>
    </row>
    <row r="192" spans="2:10" ht="15.95" customHeight="1" x14ac:dyDescent="0.25">
      <c r="C192" s="57"/>
      <c r="D192" s="2" t="s">
        <v>96</v>
      </c>
      <c r="F192" s="62">
        <v>10000</v>
      </c>
      <c r="H192" s="39"/>
      <c r="J192" s="82"/>
    </row>
    <row r="193" spans="3:10" ht="15.95" customHeight="1" x14ac:dyDescent="0.25">
      <c r="C193" s="57" t="s">
        <v>54</v>
      </c>
      <c r="G193" s="63"/>
      <c r="H193" s="39">
        <v>3.9509088107397158E-2</v>
      </c>
      <c r="J193" s="82">
        <v>40980</v>
      </c>
    </row>
    <row r="194" spans="3:10" ht="15.95" customHeight="1" x14ac:dyDescent="0.25">
      <c r="C194" s="57" t="s">
        <v>57</v>
      </c>
      <c r="G194" s="63"/>
      <c r="H194" s="39">
        <v>9.7885742204588417E-3</v>
      </c>
      <c r="J194" s="82">
        <v>10153</v>
      </c>
    </row>
    <row r="195" spans="3:10" ht="15.95" customHeight="1" x14ac:dyDescent="0.25">
      <c r="C195" s="57" t="s">
        <v>58</v>
      </c>
      <c r="G195" s="63"/>
      <c r="H195" s="39">
        <v>0.16457588743770174</v>
      </c>
      <c r="J195" s="82">
        <v>170703</v>
      </c>
    </row>
    <row r="196" spans="3:10" ht="15.95" customHeight="1" x14ac:dyDescent="0.25">
      <c r="C196" s="57"/>
      <c r="D196" s="2" t="s">
        <v>97</v>
      </c>
      <c r="F196" s="64">
        <v>20096</v>
      </c>
      <c r="G196" s="63"/>
      <c r="H196" s="39"/>
      <c r="J196" s="82">
        <v>0</v>
      </c>
    </row>
    <row r="197" spans="3:10" ht="15.95" customHeight="1" x14ac:dyDescent="0.25">
      <c r="C197" s="57"/>
      <c r="D197" s="2" t="s">
        <v>98</v>
      </c>
      <c r="F197" s="69">
        <v>50236</v>
      </c>
      <c r="G197" s="63"/>
      <c r="H197" s="39"/>
      <c r="J197" s="82"/>
    </row>
    <row r="198" spans="3:10" ht="15.95" customHeight="1" x14ac:dyDescent="0.25">
      <c r="C198" s="57"/>
      <c r="D198" s="2" t="s">
        <v>99</v>
      </c>
      <c r="F198" s="65">
        <v>100371</v>
      </c>
      <c r="G198" s="63"/>
      <c r="H198" s="39"/>
      <c r="J198" s="82"/>
    </row>
    <row r="199" spans="3:10" ht="15.95" customHeight="1" x14ac:dyDescent="0.25">
      <c r="C199" s="57" t="s">
        <v>60</v>
      </c>
      <c r="G199" s="63"/>
      <c r="H199" s="39">
        <v>5.4520227732389199E-3</v>
      </c>
      <c r="J199" s="82">
        <v>5655</v>
      </c>
    </row>
    <row r="200" spans="3:10" ht="15.95" customHeight="1" x14ac:dyDescent="0.25">
      <c r="C200" s="57" t="s">
        <v>61</v>
      </c>
      <c r="G200" s="63"/>
      <c r="H200" s="39">
        <v>8.0586874049336666E-3</v>
      </c>
      <c r="J200" s="82">
        <v>8358.7099999999991</v>
      </c>
    </row>
    <row r="201" spans="3:10" ht="15.95" customHeight="1" x14ac:dyDescent="0.25">
      <c r="C201" s="57" t="s">
        <v>62</v>
      </c>
      <c r="G201" s="63"/>
      <c r="H201" s="39">
        <v>8.1949060252043879E-4</v>
      </c>
      <c r="J201" s="82">
        <v>850</v>
      </c>
    </row>
    <row r="202" spans="3:10" ht="15.95" customHeight="1" x14ac:dyDescent="0.25">
      <c r="C202" s="57" t="s">
        <v>63</v>
      </c>
      <c r="G202" s="63"/>
      <c r="H202" s="39">
        <v>0.30369357622816262</v>
      </c>
      <c r="J202" s="82">
        <v>315000</v>
      </c>
    </row>
    <row r="203" spans="3:10" ht="15.95" customHeight="1" x14ac:dyDescent="0.25">
      <c r="C203" s="57"/>
      <c r="D203" s="2" t="s">
        <v>64</v>
      </c>
      <c r="F203" s="64">
        <v>65000</v>
      </c>
      <c r="G203" s="63"/>
      <c r="H203" s="39"/>
      <c r="J203" s="82"/>
    </row>
    <row r="204" spans="3:10" ht="15.95" customHeight="1" x14ac:dyDescent="0.25">
      <c r="C204" s="57"/>
      <c r="D204" s="2" t="s">
        <v>65</v>
      </c>
      <c r="F204" s="65">
        <v>250000</v>
      </c>
      <c r="G204" s="63"/>
      <c r="H204" s="39"/>
      <c r="J204" s="82"/>
    </row>
    <row r="205" spans="3:10" ht="15.95" customHeight="1" x14ac:dyDescent="0.25">
      <c r="C205" s="2" t="s">
        <v>66</v>
      </c>
      <c r="G205" s="63"/>
      <c r="H205" s="39">
        <v>6.3602111821498058E-3</v>
      </c>
      <c r="J205" s="82">
        <v>6597</v>
      </c>
    </row>
    <row r="206" spans="3:10" ht="15.95" customHeight="1" x14ac:dyDescent="0.25">
      <c r="C206" s="2" t="s">
        <v>67</v>
      </c>
      <c r="G206" s="63"/>
      <c r="H206" s="39">
        <v>2.3186763518372416E-3</v>
      </c>
      <c r="J206" s="82">
        <v>2405</v>
      </c>
    </row>
    <row r="207" spans="3:10" ht="15.95" customHeight="1" x14ac:dyDescent="0.25">
      <c r="C207" s="2" t="s">
        <v>100</v>
      </c>
      <c r="G207" s="63"/>
      <c r="H207" s="39">
        <v>1.4461598868007745E-2</v>
      </c>
      <c r="J207" s="82">
        <v>15000</v>
      </c>
    </row>
    <row r="208" spans="3:10" ht="15.95" customHeight="1" x14ac:dyDescent="0.25">
      <c r="C208" s="2" t="s">
        <v>101</v>
      </c>
      <c r="G208" s="63"/>
      <c r="H208" s="39">
        <v>1.3680672529135325E-2</v>
      </c>
      <c r="J208" s="82">
        <v>14190</v>
      </c>
    </row>
    <row r="209" spans="2:10" ht="15.95" customHeight="1" x14ac:dyDescent="0.25">
      <c r="C209" s="2" t="s">
        <v>102</v>
      </c>
      <c r="G209" s="63"/>
      <c r="H209" s="39">
        <v>3.1989056696033131E-3</v>
      </c>
      <c r="J209" s="82">
        <v>3318</v>
      </c>
    </row>
    <row r="210" spans="2:10" ht="15.95" customHeight="1" x14ac:dyDescent="0.25">
      <c r="C210" s="2" t="s">
        <v>103</v>
      </c>
      <c r="G210" s="63"/>
      <c r="H210" s="39">
        <v>1.1588561226230205E-2</v>
      </c>
      <c r="J210" s="82">
        <v>12020</v>
      </c>
    </row>
    <row r="211" spans="2:10" ht="15.95" customHeight="1" x14ac:dyDescent="0.25">
      <c r="C211" s="2" t="s">
        <v>104</v>
      </c>
      <c r="G211" s="63"/>
      <c r="H211" s="39">
        <v>9.6410659120051631E-3</v>
      </c>
      <c r="J211" s="82">
        <v>10000</v>
      </c>
    </row>
    <row r="212" spans="2:10" ht="15.95" customHeight="1" x14ac:dyDescent="0.25">
      <c r="C212" s="2" t="s">
        <v>105</v>
      </c>
      <c r="G212" s="63"/>
      <c r="H212" s="39">
        <v>2.3138558188812389E-2</v>
      </c>
      <c r="J212" s="82">
        <v>24000</v>
      </c>
    </row>
    <row r="213" spans="2:10" ht="15.95" customHeight="1" x14ac:dyDescent="0.25">
      <c r="C213" s="2" t="s">
        <v>106</v>
      </c>
      <c r="G213" s="63"/>
      <c r="H213" s="39">
        <v>0.11569279094406196</v>
      </c>
      <c r="J213" s="82">
        <v>120000</v>
      </c>
    </row>
    <row r="214" spans="2:10" ht="15.95" customHeight="1" x14ac:dyDescent="0.25">
      <c r="C214" s="2" t="s">
        <v>69</v>
      </c>
      <c r="G214" s="63"/>
      <c r="H214" s="39">
        <v>1.1569279094406195E-2</v>
      </c>
      <c r="J214" s="82">
        <v>12000</v>
      </c>
    </row>
    <row r="215" spans="2:10" ht="15.95" customHeight="1" thickBot="1" x14ac:dyDescent="0.3">
      <c r="C215" s="66"/>
      <c r="H215" s="40">
        <v>1.0000000000000002</v>
      </c>
      <c r="J215" s="83">
        <v>1037229.71</v>
      </c>
    </row>
    <row r="216" spans="2:10" ht="15.95" customHeight="1" thickTop="1" x14ac:dyDescent="0.25">
      <c r="B216" s="27">
        <v>4</v>
      </c>
      <c r="C216" s="28" t="s">
        <v>70</v>
      </c>
      <c r="D216" s="28"/>
      <c r="E216" s="29"/>
      <c r="F216" s="30"/>
      <c r="G216" s="28"/>
      <c r="H216" s="31"/>
      <c r="I216" s="28"/>
      <c r="J216" s="30"/>
    </row>
    <row r="217" spans="2:10" ht="15.95" customHeight="1" x14ac:dyDescent="0.25">
      <c r="C217" s="2" t="s">
        <v>71</v>
      </c>
      <c r="H217" s="39" t="s">
        <v>47</v>
      </c>
      <c r="J217" s="82">
        <v>4316495</v>
      </c>
    </row>
    <row r="218" spans="2:10" ht="15.95" customHeight="1" x14ac:dyDescent="0.25">
      <c r="D218" s="2" t="s">
        <v>73</v>
      </c>
      <c r="F218" s="64">
        <v>4286495</v>
      </c>
      <c r="H218" s="39">
        <v>0.99304991665691722</v>
      </c>
      <c r="J218" s="82"/>
    </row>
    <row r="219" spans="2:10" ht="15.95" customHeight="1" x14ac:dyDescent="0.25">
      <c r="D219" s="2" t="s">
        <v>72</v>
      </c>
      <c r="F219" s="62">
        <v>30000</v>
      </c>
      <c r="H219" s="39">
        <v>6.9500833430827559E-3</v>
      </c>
      <c r="J219" s="85" t="s">
        <v>47</v>
      </c>
    </row>
    <row r="220" spans="2:10" ht="15.95" customHeight="1" x14ac:dyDescent="0.25">
      <c r="D220" s="2" t="s">
        <v>74</v>
      </c>
      <c r="F220" s="62">
        <v>0</v>
      </c>
      <c r="H220" s="39">
        <v>0</v>
      </c>
      <c r="J220" s="85"/>
    </row>
    <row r="221" spans="2:10" ht="15.95" customHeight="1" thickBot="1" x14ac:dyDescent="0.3">
      <c r="C221" s="46"/>
      <c r="H221" s="40">
        <v>1</v>
      </c>
      <c r="J221" s="83">
        <v>4316495</v>
      </c>
    </row>
    <row r="222" spans="2:10" ht="15.95" customHeight="1" thickTop="1" x14ac:dyDescent="0.25">
      <c r="C222" s="46"/>
      <c r="H222" s="47"/>
      <c r="J222" s="67"/>
    </row>
    <row r="223" spans="2:10" ht="15.95" customHeight="1" x14ac:dyDescent="0.25">
      <c r="B223" s="54">
        <v>4.0999999999999996</v>
      </c>
      <c r="C223" s="28" t="s">
        <v>75</v>
      </c>
      <c r="D223" s="28"/>
      <c r="E223" s="29"/>
      <c r="F223" s="30"/>
      <c r="G223" s="28"/>
      <c r="H223" s="31"/>
      <c r="I223" s="28"/>
      <c r="J223" s="30"/>
    </row>
    <row r="224" spans="2:10" ht="15.95" customHeight="1" x14ac:dyDescent="0.25">
      <c r="C224" s="2" t="s">
        <v>76</v>
      </c>
      <c r="H224" s="39">
        <v>4.8522276135862373E-2</v>
      </c>
      <c r="J224" s="82">
        <v>110000</v>
      </c>
    </row>
    <row r="225" spans="2:10" ht="15.95" customHeight="1" x14ac:dyDescent="0.25">
      <c r="D225" s="2" t="s">
        <v>72</v>
      </c>
      <c r="F225" s="88">
        <v>0</v>
      </c>
      <c r="H225" s="39" t="s">
        <v>47</v>
      </c>
      <c r="J225" s="85" t="s">
        <v>47</v>
      </c>
    </row>
    <row r="226" spans="2:10" ht="15.95" customHeight="1" x14ac:dyDescent="0.25">
      <c r="C226" s="2" t="s">
        <v>77</v>
      </c>
      <c r="H226" s="39">
        <v>0.95147772386413765</v>
      </c>
      <c r="J226" s="82">
        <v>2157000</v>
      </c>
    </row>
    <row r="227" spans="2:10" ht="15.95" customHeight="1" thickBot="1" x14ac:dyDescent="0.3">
      <c r="C227" s="46"/>
      <c r="H227" s="40">
        <v>1</v>
      </c>
      <c r="J227" s="83">
        <v>2267000</v>
      </c>
    </row>
    <row r="228" spans="2:10" ht="15.95" customHeight="1" thickTop="1" x14ac:dyDescent="0.25">
      <c r="C228" s="46"/>
      <c r="H228" s="47"/>
      <c r="J228" s="67"/>
    </row>
    <row r="229" spans="2:10" ht="15.95" customHeight="1" x14ac:dyDescent="0.25">
      <c r="B229" s="27">
        <v>5</v>
      </c>
      <c r="C229" s="28" t="s">
        <v>78</v>
      </c>
      <c r="D229" s="28"/>
      <c r="E229" s="29"/>
      <c r="F229" s="30"/>
      <c r="G229" s="28"/>
      <c r="H229" s="31"/>
      <c r="I229" s="28"/>
      <c r="J229" s="30"/>
    </row>
    <row r="230" spans="2:10" ht="15.95" customHeight="1" x14ac:dyDescent="0.25">
      <c r="C230" s="2" t="s">
        <v>79</v>
      </c>
      <c r="H230" s="39" t="s">
        <v>47</v>
      </c>
      <c r="J230" s="82">
        <v>4225123</v>
      </c>
    </row>
    <row r="231" spans="2:10" ht="15.95" customHeight="1" x14ac:dyDescent="0.25">
      <c r="D231" s="2" t="s">
        <v>80</v>
      </c>
      <c r="F231" s="64">
        <v>1022131</v>
      </c>
      <c r="H231" s="39">
        <v>0.24191745423742694</v>
      </c>
      <c r="J231" s="85" t="s">
        <v>47</v>
      </c>
    </row>
    <row r="232" spans="2:10" ht="15.95" customHeight="1" x14ac:dyDescent="0.25">
      <c r="D232" s="2" t="s">
        <v>81</v>
      </c>
      <c r="F232" s="69">
        <v>984254</v>
      </c>
      <c r="H232" s="39">
        <v>0.23295274480766595</v>
      </c>
      <c r="J232" s="85" t="s">
        <v>47</v>
      </c>
    </row>
    <row r="233" spans="2:10" ht="15.95" customHeight="1" x14ac:dyDescent="0.25">
      <c r="D233" s="2" t="s">
        <v>82</v>
      </c>
      <c r="F233" s="69">
        <v>400</v>
      </c>
      <c r="H233" s="39">
        <v>9.4671800087240061E-5</v>
      </c>
      <c r="J233" s="85" t="s">
        <v>47</v>
      </c>
    </row>
    <row r="234" spans="2:10" ht="15.95" customHeight="1" x14ac:dyDescent="0.25">
      <c r="D234" s="2" t="s">
        <v>84</v>
      </c>
      <c r="F234" s="69">
        <v>85620</v>
      </c>
      <c r="H234" s="39">
        <v>2.0264498808673734E-2</v>
      </c>
      <c r="J234" s="85" t="s">
        <v>47</v>
      </c>
    </row>
    <row r="235" spans="2:10" ht="15.95" customHeight="1" x14ac:dyDescent="0.25">
      <c r="D235" s="2" t="s">
        <v>86</v>
      </c>
      <c r="F235" s="69">
        <v>964256</v>
      </c>
      <c r="H235" s="39">
        <v>0.2282196281623044</v>
      </c>
      <c r="J235" s="85" t="s">
        <v>47</v>
      </c>
    </row>
    <row r="236" spans="2:10" ht="15.95" customHeight="1" x14ac:dyDescent="0.25">
      <c r="D236" s="2" t="s">
        <v>87</v>
      </c>
      <c r="F236" s="69">
        <v>359249</v>
      </c>
      <c r="H236" s="39">
        <v>8.5026873773852263E-2</v>
      </c>
      <c r="J236" s="85" t="s">
        <v>47</v>
      </c>
    </row>
    <row r="237" spans="2:10" ht="15.95" customHeight="1" x14ac:dyDescent="0.25">
      <c r="D237" s="2" t="s">
        <v>88</v>
      </c>
      <c r="F237" s="69">
        <v>156880</v>
      </c>
      <c r="H237" s="39">
        <v>3.7130279994215552E-2</v>
      </c>
      <c r="J237" s="85">
        <v>0</v>
      </c>
    </row>
    <row r="238" spans="2:10" ht="15.95" customHeight="1" x14ac:dyDescent="0.25">
      <c r="D238" s="2" t="s">
        <v>107</v>
      </c>
      <c r="F238" s="69">
        <v>108000</v>
      </c>
      <c r="H238" s="39">
        <v>2.5561386023554816E-2</v>
      </c>
      <c r="J238" s="85">
        <v>0</v>
      </c>
    </row>
    <row r="239" spans="2:10" ht="15.95" customHeight="1" x14ac:dyDescent="0.25">
      <c r="D239" s="2" t="s">
        <v>11</v>
      </c>
      <c r="F239" s="69">
        <v>56000</v>
      </c>
      <c r="H239" s="39">
        <v>1.3254052012213609E-2</v>
      </c>
      <c r="J239" s="85">
        <v>0</v>
      </c>
    </row>
    <row r="240" spans="2:10" ht="15.95" customHeight="1" x14ac:dyDescent="0.25">
      <c r="D240" s="2" t="s">
        <v>89</v>
      </c>
      <c r="F240" s="65">
        <v>488333</v>
      </c>
      <c r="H240" s="39">
        <v>0.11557841038000551</v>
      </c>
      <c r="J240" s="85" t="s">
        <v>47</v>
      </c>
    </row>
    <row r="241" spans="2:10" ht="15.95" customHeight="1" thickBot="1" x14ac:dyDescent="0.3">
      <c r="C241" s="46"/>
      <c r="H241" s="40">
        <v>1</v>
      </c>
      <c r="J241" s="83">
        <v>4225123</v>
      </c>
    </row>
    <row r="242" spans="2:10" ht="15.95" customHeight="1" thickTop="1" x14ac:dyDescent="0.25">
      <c r="B242" s="2"/>
      <c r="G242" s="2"/>
    </row>
    <row r="245" spans="2:10" ht="15.95" customHeight="1" x14ac:dyDescent="0.25">
      <c r="G245" s="5" t="s">
        <v>0</v>
      </c>
      <c r="H245" s="16" t="s">
        <v>1</v>
      </c>
      <c r="J245" s="18" t="s">
        <v>2</v>
      </c>
    </row>
    <row r="247" spans="2:10" ht="15.95" customHeight="1" x14ac:dyDescent="0.25">
      <c r="B247" s="4">
        <v>4</v>
      </c>
      <c r="C247" s="2" t="s">
        <v>3</v>
      </c>
    </row>
    <row r="249" spans="2:10" ht="15.95" customHeight="1" x14ac:dyDescent="0.25">
      <c r="C249" s="2" t="s">
        <v>4</v>
      </c>
      <c r="J249" s="18">
        <v>421154.98000000324</v>
      </c>
    </row>
    <row r="250" spans="2:10" ht="15.95" customHeight="1" x14ac:dyDescent="0.25">
      <c r="C250" s="2" t="s">
        <v>5</v>
      </c>
    </row>
    <row r="251" spans="2:10" ht="15.95" customHeight="1" x14ac:dyDescent="0.25">
      <c r="C251" s="2" t="s">
        <v>6</v>
      </c>
      <c r="J251" s="18">
        <v>-621473</v>
      </c>
    </row>
    <row r="253" spans="2:10" ht="15.95" customHeight="1" x14ac:dyDescent="0.25">
      <c r="J253" s="18">
        <v>-200318.01999999676</v>
      </c>
    </row>
    <row r="254" spans="2:10" ht="15.95" customHeight="1" x14ac:dyDescent="0.25">
      <c r="B254" s="4">
        <v>1</v>
      </c>
      <c r="C254" s="2" t="s">
        <v>7</v>
      </c>
    </row>
    <row r="255" spans="2:10" ht="15.95" customHeight="1" x14ac:dyDescent="0.25">
      <c r="B255" s="4" t="s">
        <v>8</v>
      </c>
      <c r="C255" s="2" t="s">
        <v>9</v>
      </c>
      <c r="H255" s="39">
        <v>0.20532762997472986</v>
      </c>
      <c r="J255" s="18">
        <v>513300</v>
      </c>
    </row>
    <row r="256" spans="2:10" ht="15.95" customHeight="1" x14ac:dyDescent="0.25">
      <c r="C256" s="2" t="s">
        <v>10</v>
      </c>
      <c r="G256" s="5">
        <v>1.1000000000000001</v>
      </c>
      <c r="H256" s="39">
        <v>0.70691310889112635</v>
      </c>
      <c r="J256" s="18">
        <v>1767217.1</v>
      </c>
    </row>
    <row r="257" spans="2:10" ht="15.95" customHeight="1" x14ac:dyDescent="0.25">
      <c r="C257" s="2" t="s">
        <v>11</v>
      </c>
      <c r="G257" s="5">
        <v>1.2</v>
      </c>
      <c r="H257" s="39">
        <v>8.7759261134143743E-2</v>
      </c>
      <c r="J257" s="18">
        <v>219390</v>
      </c>
    </row>
    <row r="258" spans="2:10" ht="15.95" customHeight="1" x14ac:dyDescent="0.25">
      <c r="C258" s="2" t="s">
        <v>12</v>
      </c>
      <c r="H258" s="39">
        <v>0</v>
      </c>
      <c r="J258" s="18">
        <v>0</v>
      </c>
    </row>
    <row r="259" spans="2:10" ht="15.95" customHeight="1" thickBot="1" x14ac:dyDescent="0.3">
      <c r="H259" s="40">
        <v>1</v>
      </c>
      <c r="J259" s="83">
        <v>2499907.1</v>
      </c>
    </row>
    <row r="260" spans="2:10" ht="15.95" customHeight="1" thickTop="1" x14ac:dyDescent="0.25"/>
    <row r="261" spans="2:10" ht="15.95" customHeight="1" x14ac:dyDescent="0.25">
      <c r="B261" s="4">
        <v>1.1000000000000001</v>
      </c>
      <c r="C261" s="2" t="s">
        <v>10</v>
      </c>
    </row>
    <row r="262" spans="2:10" ht="15.95" customHeight="1" x14ac:dyDescent="0.25">
      <c r="C262" s="2" t="s">
        <v>13</v>
      </c>
      <c r="H262" s="16">
        <v>2.150273444049404E-2</v>
      </c>
      <c r="J262" s="18">
        <v>38000</v>
      </c>
    </row>
    <row r="263" spans="2:10" ht="15.95" customHeight="1" x14ac:dyDescent="0.25">
      <c r="C263" s="2" t="s">
        <v>14</v>
      </c>
      <c r="H263" s="16">
        <v>0.17125796258988213</v>
      </c>
      <c r="J263" s="18">
        <v>302650</v>
      </c>
    </row>
    <row r="264" spans="2:10" ht="15.95" customHeight="1" x14ac:dyDescent="0.25">
      <c r="C264" s="2" t="s">
        <v>15</v>
      </c>
      <c r="H264" s="16">
        <v>6.6290666834312548E-2</v>
      </c>
      <c r="J264" s="18">
        <v>117150</v>
      </c>
    </row>
    <row r="265" spans="2:10" ht="15.95" customHeight="1" x14ac:dyDescent="0.25">
      <c r="C265" s="2" t="s">
        <v>16</v>
      </c>
      <c r="H265" s="16">
        <v>3.1518481798303105E-2</v>
      </c>
      <c r="J265" s="18">
        <v>55700</v>
      </c>
    </row>
    <row r="266" spans="2:10" ht="15.95" customHeight="1" x14ac:dyDescent="0.25">
      <c r="C266" s="2" t="s">
        <v>17</v>
      </c>
      <c r="H266" s="16">
        <v>6.8780457137948697E-2</v>
      </c>
      <c r="J266" s="18">
        <v>121550</v>
      </c>
    </row>
    <row r="267" spans="2:10" ht="15.95" customHeight="1" x14ac:dyDescent="0.25">
      <c r="C267" s="2" t="s">
        <v>18</v>
      </c>
      <c r="H267" s="16">
        <v>0.14921765978837573</v>
      </c>
      <c r="J267" s="18">
        <v>263700</v>
      </c>
    </row>
    <row r="268" spans="2:10" ht="15.95" customHeight="1" x14ac:dyDescent="0.25">
      <c r="C268" s="2" t="s">
        <v>19</v>
      </c>
      <c r="H268" s="16">
        <v>0</v>
      </c>
      <c r="J268" s="18">
        <v>0</v>
      </c>
    </row>
    <row r="269" spans="2:10" ht="15.95" customHeight="1" x14ac:dyDescent="0.25">
      <c r="C269" s="2" t="s">
        <v>20</v>
      </c>
      <c r="H269" s="16">
        <v>1.895635799359343E-2</v>
      </c>
      <c r="J269" s="18">
        <v>33500</v>
      </c>
    </row>
    <row r="270" spans="2:10" ht="15.95" customHeight="1" x14ac:dyDescent="0.25">
      <c r="C270" s="2" t="s">
        <v>21</v>
      </c>
      <c r="H270" s="16">
        <v>0.1874133064918849</v>
      </c>
      <c r="J270" s="18">
        <v>331200</v>
      </c>
    </row>
    <row r="271" spans="2:10" ht="15.95" customHeight="1" x14ac:dyDescent="0.25">
      <c r="C271" s="2" t="s">
        <v>22</v>
      </c>
      <c r="H271" s="16">
        <v>4.7249429625822424E-2</v>
      </c>
      <c r="J271" s="18">
        <v>83500</v>
      </c>
    </row>
    <row r="272" spans="2:10" ht="15.95" customHeight="1" x14ac:dyDescent="0.25">
      <c r="C272" s="2" t="s">
        <v>92</v>
      </c>
      <c r="H272" s="16">
        <v>0</v>
      </c>
      <c r="J272" s="18">
        <v>0</v>
      </c>
    </row>
    <row r="273" spans="2:10" ht="15.95" customHeight="1" x14ac:dyDescent="0.25">
      <c r="C273" s="2" t="s">
        <v>23</v>
      </c>
      <c r="H273" s="16">
        <v>0.23781294329938293</v>
      </c>
      <c r="J273" s="18">
        <v>420267.1</v>
      </c>
    </row>
    <row r="274" spans="2:10" ht="15.95" customHeight="1" x14ac:dyDescent="0.25">
      <c r="H274" s="16">
        <v>1</v>
      </c>
      <c r="J274" s="18">
        <v>1767217.1</v>
      </c>
    </row>
    <row r="276" spans="2:10" ht="15.95" customHeight="1" x14ac:dyDescent="0.25">
      <c r="B276" s="4">
        <v>1.2</v>
      </c>
      <c r="C276" s="2" t="s">
        <v>11</v>
      </c>
    </row>
    <row r="277" spans="2:10" ht="15.95" customHeight="1" x14ac:dyDescent="0.25">
      <c r="C277" s="2" t="s">
        <v>93</v>
      </c>
      <c r="E277" s="2" t="s">
        <v>25</v>
      </c>
      <c r="H277" s="16">
        <v>1</v>
      </c>
      <c r="J277" s="18">
        <v>219390</v>
      </c>
    </row>
    <row r="278" spans="2:10" ht="15.95" customHeight="1" x14ac:dyDescent="0.25">
      <c r="H278" s="16">
        <v>1</v>
      </c>
      <c r="J278" s="18">
        <v>219390</v>
      </c>
    </row>
    <row r="280" spans="2:10" ht="15.95" customHeight="1" x14ac:dyDescent="0.25">
      <c r="B280" s="4">
        <v>2</v>
      </c>
      <c r="C280" s="2" t="s">
        <v>26</v>
      </c>
    </row>
    <row r="282" spans="2:10" ht="15.95" customHeight="1" x14ac:dyDescent="0.25">
      <c r="C282" s="2" t="s">
        <v>27</v>
      </c>
      <c r="H282" s="16">
        <v>0.67277923531117223</v>
      </c>
      <c r="J282" s="18">
        <v>945580</v>
      </c>
    </row>
    <row r="283" spans="2:10" ht="15.95" customHeight="1" x14ac:dyDescent="0.25">
      <c r="C283" s="2" t="s">
        <v>28</v>
      </c>
      <c r="H283" s="16">
        <v>1.4231737632918065E-2</v>
      </c>
      <c r="J283" s="18">
        <v>20002.47</v>
      </c>
    </row>
    <row r="284" spans="2:10" ht="15.95" customHeight="1" x14ac:dyDescent="0.25">
      <c r="C284" s="2" t="s">
        <v>29</v>
      </c>
      <c r="G284" s="5">
        <v>2.1</v>
      </c>
      <c r="H284" s="16">
        <v>0.30551366269139596</v>
      </c>
      <c r="J284" s="18">
        <v>429394.36</v>
      </c>
    </row>
    <row r="285" spans="2:10" ht="15.95" customHeight="1" x14ac:dyDescent="0.25">
      <c r="C285" s="2" t="s">
        <v>30</v>
      </c>
      <c r="H285" s="16">
        <v>0</v>
      </c>
      <c r="J285" s="18">
        <v>0</v>
      </c>
    </row>
    <row r="286" spans="2:10" ht="15.95" customHeight="1" x14ac:dyDescent="0.25">
      <c r="C286" s="2" t="s">
        <v>31</v>
      </c>
      <c r="H286" s="16">
        <v>7.4753643645136649E-3</v>
      </c>
      <c r="J286" s="18">
        <v>10506.5</v>
      </c>
    </row>
    <row r="287" spans="2:10" ht="15.95" customHeight="1" x14ac:dyDescent="0.25">
      <c r="H287" s="16">
        <v>0.99999999999999989</v>
      </c>
      <c r="J287" s="18">
        <v>1405483.33</v>
      </c>
    </row>
    <row r="289" spans="2:10" ht="15.95" customHeight="1" x14ac:dyDescent="0.25">
      <c r="B289" s="4">
        <v>2.1</v>
      </c>
      <c r="C289" s="2" t="s">
        <v>32</v>
      </c>
    </row>
    <row r="290" spans="2:10" ht="15.95" customHeight="1" x14ac:dyDescent="0.25">
      <c r="B290" s="4">
        <v>0</v>
      </c>
      <c r="C290" s="2" t="s">
        <v>33</v>
      </c>
    </row>
    <row r="292" spans="2:10" ht="15.95" customHeight="1" x14ac:dyDescent="0.25">
      <c r="C292" s="2" t="s">
        <v>9</v>
      </c>
      <c r="H292" s="16">
        <v>0.23314531332938787</v>
      </c>
      <c r="J292" s="18">
        <v>152851</v>
      </c>
    </row>
    <row r="293" spans="2:10" ht="15.95" customHeight="1" x14ac:dyDescent="0.25">
      <c r="C293" s="2" t="s">
        <v>10</v>
      </c>
      <c r="G293" s="5" t="e">
        <v>#REF!</v>
      </c>
      <c r="H293" s="16">
        <v>0.52203921879671267</v>
      </c>
      <c r="J293" s="18">
        <v>342251</v>
      </c>
    </row>
    <row r="294" spans="2:10" ht="15.95" customHeight="1" x14ac:dyDescent="0.25">
      <c r="C294" s="2" t="s">
        <v>12</v>
      </c>
      <c r="H294" s="16">
        <v>0.24481546787389949</v>
      </c>
      <c r="J294" s="18">
        <v>160502</v>
      </c>
    </row>
    <row r="295" spans="2:10" ht="15.95" customHeight="1" x14ac:dyDescent="0.25">
      <c r="H295" s="16">
        <v>1</v>
      </c>
      <c r="J295" s="18">
        <v>655604</v>
      </c>
    </row>
    <row r="297" spans="2:10" ht="15.95" customHeight="1" x14ac:dyDescent="0.25">
      <c r="C297" s="2" t="s">
        <v>34</v>
      </c>
      <c r="H297" s="16">
        <v>2.212418439776433E-2</v>
      </c>
      <c r="J297" s="18">
        <v>9500</v>
      </c>
    </row>
    <row r="298" spans="2:10" ht="15.95" customHeight="1" x14ac:dyDescent="0.25">
      <c r="C298" s="2" t="s">
        <v>35</v>
      </c>
      <c r="H298" s="16">
        <v>0.24669047818886117</v>
      </c>
      <c r="J298" s="18">
        <v>105927.5</v>
      </c>
    </row>
    <row r="299" spans="2:10" ht="15.95" customHeight="1" x14ac:dyDescent="0.25">
      <c r="C299" s="2" t="s">
        <v>36</v>
      </c>
      <c r="D299" s="2" t="s">
        <v>25</v>
      </c>
      <c r="H299" s="16">
        <v>9.5489144291508635E-2</v>
      </c>
      <c r="J299" s="18">
        <v>41002.5</v>
      </c>
    </row>
    <row r="300" spans="2:10" ht="15.95" customHeight="1" x14ac:dyDescent="0.25">
      <c r="C300" s="2" t="s">
        <v>37</v>
      </c>
      <c r="H300" s="16">
        <v>4.5401155245727964E-2</v>
      </c>
      <c r="J300" s="18">
        <v>19495</v>
      </c>
    </row>
    <row r="301" spans="2:10" ht="15.95" customHeight="1" x14ac:dyDescent="0.25">
      <c r="C301" s="2" t="s">
        <v>38</v>
      </c>
      <c r="H301" s="16">
        <v>9.9075591025462012E-2</v>
      </c>
      <c r="J301" s="18">
        <v>42542.5</v>
      </c>
    </row>
    <row r="302" spans="2:10" ht="15.95" customHeight="1" x14ac:dyDescent="0.25">
      <c r="C302" s="2" t="s">
        <v>39</v>
      </c>
      <c r="H302" s="16">
        <v>2.3405058231319109E-2</v>
      </c>
      <c r="J302" s="18">
        <v>10050</v>
      </c>
    </row>
    <row r="303" spans="2:10" ht="15.95" customHeight="1" x14ac:dyDescent="0.25">
      <c r="C303" s="2" t="s">
        <v>40</v>
      </c>
      <c r="H303" s="16">
        <v>0</v>
      </c>
      <c r="J303" s="18">
        <v>0</v>
      </c>
    </row>
    <row r="304" spans="2:10" ht="15.95" customHeight="1" x14ac:dyDescent="0.25">
      <c r="C304" s="2" t="s">
        <v>41</v>
      </c>
      <c r="H304" s="16">
        <v>3.8891987309754142E-2</v>
      </c>
      <c r="J304" s="18">
        <v>16700</v>
      </c>
    </row>
    <row r="305" spans="2:10" ht="15.95" customHeight="1" x14ac:dyDescent="0.25">
      <c r="C305" s="2" t="s">
        <v>42</v>
      </c>
      <c r="H305" s="16">
        <v>0.18423623449548801</v>
      </c>
      <c r="J305" s="18">
        <v>79110</v>
      </c>
    </row>
    <row r="306" spans="2:10" ht="15.95" customHeight="1" x14ac:dyDescent="0.25">
      <c r="C306" s="2" t="s">
        <v>43</v>
      </c>
      <c r="H306" s="16">
        <v>0.24468616681411468</v>
      </c>
      <c r="J306" s="18">
        <v>105066.86</v>
      </c>
    </row>
    <row r="307" spans="2:10" ht="15.95" customHeight="1" x14ac:dyDescent="0.25">
      <c r="H307" s="16">
        <v>1</v>
      </c>
      <c r="J307" s="18">
        <v>429394.36</v>
      </c>
    </row>
    <row r="308" spans="2:10" ht="15.95" customHeight="1" x14ac:dyDescent="0.25">
      <c r="B308" s="4">
        <v>3</v>
      </c>
      <c r="C308" s="2" t="s">
        <v>44</v>
      </c>
    </row>
    <row r="309" spans="2:10" ht="15.95" customHeight="1" x14ac:dyDescent="0.25">
      <c r="C309" s="2" t="s">
        <v>45</v>
      </c>
      <c r="H309" s="16">
        <v>0.26514862430979963</v>
      </c>
      <c r="J309" s="18">
        <v>226000</v>
      </c>
    </row>
    <row r="310" spans="2:10" ht="15.95" customHeight="1" x14ac:dyDescent="0.25">
      <c r="D310" s="2" t="s">
        <v>46</v>
      </c>
      <c r="F310" s="18">
        <v>50000</v>
      </c>
      <c r="H310" s="16" t="s">
        <v>47</v>
      </c>
      <c r="J310" s="18" t="s">
        <v>47</v>
      </c>
    </row>
    <row r="311" spans="2:10" ht="15.95" customHeight="1" x14ac:dyDescent="0.25">
      <c r="D311" s="2" t="s">
        <v>48</v>
      </c>
      <c r="F311" s="18">
        <v>20000</v>
      </c>
      <c r="H311" s="16" t="s">
        <v>47</v>
      </c>
      <c r="J311" s="18" t="s">
        <v>47</v>
      </c>
    </row>
    <row r="312" spans="2:10" ht="15.95" customHeight="1" x14ac:dyDescent="0.25">
      <c r="D312" s="2" t="s">
        <v>49</v>
      </c>
      <c r="F312" s="18">
        <v>75000</v>
      </c>
      <c r="H312" s="16" t="s">
        <v>47</v>
      </c>
      <c r="J312" s="18" t="s">
        <v>47</v>
      </c>
    </row>
    <row r="313" spans="2:10" ht="15.95" customHeight="1" x14ac:dyDescent="0.25">
      <c r="D313" s="2" t="s">
        <v>50</v>
      </c>
      <c r="F313" s="18">
        <v>35000</v>
      </c>
      <c r="H313" s="16" t="s">
        <v>47</v>
      </c>
      <c r="J313" s="18" t="s">
        <v>47</v>
      </c>
    </row>
    <row r="314" spans="2:10" ht="15.95" customHeight="1" x14ac:dyDescent="0.25">
      <c r="D314" s="2" t="s">
        <v>94</v>
      </c>
      <c r="F314" s="18">
        <v>35000</v>
      </c>
      <c r="H314" s="16" t="s">
        <v>47</v>
      </c>
      <c r="J314" s="18" t="s">
        <v>47</v>
      </c>
    </row>
    <row r="315" spans="2:10" ht="15.95" customHeight="1" x14ac:dyDescent="0.25">
      <c r="D315" s="2" t="s">
        <v>52</v>
      </c>
      <c r="F315" s="18">
        <v>11000</v>
      </c>
      <c r="H315" s="16" t="s">
        <v>47</v>
      </c>
      <c r="J315" s="18" t="s">
        <v>47</v>
      </c>
    </row>
    <row r="316" spans="2:10" ht="15.95" customHeight="1" x14ac:dyDescent="0.25">
      <c r="C316" s="2" t="s">
        <v>53</v>
      </c>
      <c r="H316" s="16">
        <v>4.1062840047977819E-2</v>
      </c>
      <c r="J316" s="18">
        <v>35000</v>
      </c>
    </row>
    <row r="317" spans="2:10" ht="15.95" customHeight="1" x14ac:dyDescent="0.25">
      <c r="D317" s="2" t="s">
        <v>95</v>
      </c>
      <c r="F317" s="18">
        <v>30000</v>
      </c>
    </row>
    <row r="318" spans="2:10" ht="15.95" customHeight="1" x14ac:dyDescent="0.25">
      <c r="D318" s="2" t="s">
        <v>109</v>
      </c>
      <c r="F318" s="18">
        <v>5000</v>
      </c>
    </row>
    <row r="319" spans="2:10" ht="15.95" customHeight="1" x14ac:dyDescent="0.25">
      <c r="C319" s="2" t="s">
        <v>54</v>
      </c>
      <c r="H319" s="16">
        <v>3.4539714600356201E-2</v>
      </c>
      <c r="J319" s="18">
        <v>29440</v>
      </c>
    </row>
    <row r="320" spans="2:10" ht="15.95" customHeight="1" x14ac:dyDescent="0.25">
      <c r="C320" s="2" t="s">
        <v>57</v>
      </c>
      <c r="H320" s="16">
        <v>1.1911743285917681E-2</v>
      </c>
      <c r="J320" s="18">
        <v>10153</v>
      </c>
    </row>
    <row r="321" spans="3:10" ht="15.95" customHeight="1" x14ac:dyDescent="0.25">
      <c r="C321" s="2" t="s">
        <v>58</v>
      </c>
      <c r="H321" s="16">
        <v>0.12833193416594302</v>
      </c>
      <c r="J321" s="18">
        <v>109384</v>
      </c>
    </row>
    <row r="322" spans="3:10" ht="15.95" customHeight="1" x14ac:dyDescent="0.25">
      <c r="D322" s="2" t="s">
        <v>97</v>
      </c>
      <c r="F322" s="18">
        <v>16069</v>
      </c>
      <c r="J322" s="18">
        <v>0</v>
      </c>
    </row>
    <row r="323" spans="3:10" ht="15.95" customHeight="1" x14ac:dyDescent="0.25">
      <c r="D323" s="2" t="s">
        <v>98</v>
      </c>
      <c r="F323" s="18">
        <v>73315</v>
      </c>
    </row>
    <row r="324" spans="3:10" ht="15.95" customHeight="1" x14ac:dyDescent="0.25">
      <c r="D324" s="2" t="s">
        <v>110</v>
      </c>
      <c r="F324" s="18">
        <v>20000</v>
      </c>
    </row>
    <row r="325" spans="3:10" ht="15.95" customHeight="1" x14ac:dyDescent="0.25">
      <c r="C325" s="2" t="s">
        <v>60</v>
      </c>
      <c r="H325" s="16">
        <v>2.4156682188224667E-2</v>
      </c>
      <c r="J325" s="18">
        <v>20590</v>
      </c>
    </row>
    <row r="326" spans="3:10" ht="15.95" customHeight="1" x14ac:dyDescent="0.25">
      <c r="C326" s="2" t="s">
        <v>61</v>
      </c>
      <c r="H326" s="16">
        <v>1.3226199992573491E-2</v>
      </c>
      <c r="J326" s="18">
        <v>11273.38</v>
      </c>
    </row>
    <row r="327" spans="3:10" ht="15.95" customHeight="1" x14ac:dyDescent="0.25">
      <c r="C327" s="2" t="s">
        <v>62</v>
      </c>
      <c r="H327" s="16">
        <v>1.1145628013022552E-3</v>
      </c>
      <c r="J327" s="18">
        <v>950</v>
      </c>
    </row>
    <row r="328" spans="3:10" ht="15.95" customHeight="1" x14ac:dyDescent="0.25">
      <c r="C328" s="2" t="s">
        <v>63</v>
      </c>
      <c r="H328" s="16">
        <v>0.36956556043180039</v>
      </c>
      <c r="J328" s="18">
        <v>315000</v>
      </c>
    </row>
    <row r="329" spans="3:10" ht="15.95" customHeight="1" x14ac:dyDescent="0.25">
      <c r="D329" s="2" t="s">
        <v>64</v>
      </c>
      <c r="F329" s="18">
        <v>65000</v>
      </c>
    </row>
    <row r="330" spans="3:10" ht="15.95" customHeight="1" x14ac:dyDescent="0.25">
      <c r="D330" s="2" t="s">
        <v>65</v>
      </c>
      <c r="F330" s="18">
        <v>250000</v>
      </c>
    </row>
    <row r="331" spans="3:10" ht="15.95" customHeight="1" x14ac:dyDescent="0.25">
      <c r="C331" s="2" t="s">
        <v>66</v>
      </c>
      <c r="H331" s="16">
        <v>7.7397587370431342E-3</v>
      </c>
      <c r="J331" s="18">
        <v>6597</v>
      </c>
    </row>
    <row r="332" spans="3:10" ht="15.95" customHeight="1" x14ac:dyDescent="0.25">
      <c r="C332" s="2" t="s">
        <v>67</v>
      </c>
      <c r="H332" s="16">
        <v>0</v>
      </c>
      <c r="J332" s="18">
        <v>0</v>
      </c>
    </row>
    <row r="333" spans="3:10" ht="15.95" customHeight="1" x14ac:dyDescent="0.25">
      <c r="C333" s="2" t="s">
        <v>102</v>
      </c>
      <c r="H333" s="16">
        <v>3.9701630364867381E-2</v>
      </c>
      <c r="J333" s="18">
        <v>33839.769999999997</v>
      </c>
    </row>
    <row r="334" spans="3:10" ht="15.95" customHeight="1" x14ac:dyDescent="0.25">
      <c r="C334" s="2" t="s">
        <v>104</v>
      </c>
      <c r="H334" s="16">
        <v>5.8514547068368394E-2</v>
      </c>
      <c r="J334" s="18">
        <v>49875</v>
      </c>
    </row>
    <row r="335" spans="3:10" ht="15.95" customHeight="1" x14ac:dyDescent="0.25">
      <c r="C335" s="2" t="s">
        <v>111</v>
      </c>
      <c r="H335" s="16">
        <v>4.9862020058258783E-3</v>
      </c>
      <c r="J335" s="18">
        <v>4250</v>
      </c>
    </row>
    <row r="336" spans="3:10" ht="15.95" customHeight="1" x14ac:dyDescent="0.25">
      <c r="H336" s="16">
        <v>0.99999999999999989</v>
      </c>
      <c r="J336" s="18">
        <v>852352.15</v>
      </c>
    </row>
    <row r="337" spans="2:10" ht="15.95" customHeight="1" x14ac:dyDescent="0.25">
      <c r="B337" s="4">
        <v>4</v>
      </c>
      <c r="C337" s="2" t="s">
        <v>70</v>
      </c>
    </row>
    <row r="338" spans="2:10" ht="15.95" customHeight="1" x14ac:dyDescent="0.25">
      <c r="C338" s="2" t="s">
        <v>71</v>
      </c>
      <c r="H338" s="16" t="s">
        <v>47</v>
      </c>
      <c r="J338" s="18">
        <v>4326405</v>
      </c>
    </row>
    <row r="339" spans="2:10" ht="15.95" customHeight="1" x14ac:dyDescent="0.25">
      <c r="D339" s="2" t="s">
        <v>73</v>
      </c>
      <c r="F339" s="18">
        <v>4266405</v>
      </c>
      <c r="H339" s="16">
        <v>0.98613167283229375</v>
      </c>
    </row>
    <row r="340" spans="2:10" ht="15.95" customHeight="1" x14ac:dyDescent="0.25">
      <c r="D340" s="2" t="s">
        <v>72</v>
      </c>
      <c r="F340" s="18">
        <v>60000</v>
      </c>
      <c r="H340" s="16">
        <v>1.3868327167706213E-2</v>
      </c>
      <c r="J340" s="18" t="s">
        <v>47</v>
      </c>
    </row>
    <row r="341" spans="2:10" ht="15.95" customHeight="1" x14ac:dyDescent="0.25">
      <c r="D341" s="2" t="s">
        <v>74</v>
      </c>
      <c r="F341" s="18">
        <v>0</v>
      </c>
      <c r="H341" s="16">
        <v>0</v>
      </c>
    </row>
    <row r="342" spans="2:10" ht="15.95" customHeight="1" x14ac:dyDescent="0.25">
      <c r="H342" s="16">
        <v>1</v>
      </c>
      <c r="J342" s="18">
        <v>4326405</v>
      </c>
    </row>
    <row r="344" spans="2:10" ht="15.95" customHeight="1" x14ac:dyDescent="0.25">
      <c r="B344" s="4">
        <v>4.0999999999999996</v>
      </c>
      <c r="C344" s="2" t="s">
        <v>75</v>
      </c>
    </row>
    <row r="345" spans="2:10" ht="15.95" customHeight="1" x14ac:dyDescent="0.25">
      <c r="C345" s="2" t="s">
        <v>76</v>
      </c>
      <c r="H345" s="16">
        <v>4.5997346306943833E-2</v>
      </c>
      <c r="J345" s="18">
        <v>104000</v>
      </c>
    </row>
    <row r="346" spans="2:10" ht="15.95" customHeight="1" x14ac:dyDescent="0.25">
      <c r="D346" s="2" t="s">
        <v>72</v>
      </c>
      <c r="F346" s="18">
        <v>0</v>
      </c>
      <c r="H346" s="16" t="s">
        <v>47</v>
      </c>
      <c r="J346" s="18" t="s">
        <v>47</v>
      </c>
    </row>
    <row r="347" spans="2:10" ht="15.95" customHeight="1" x14ac:dyDescent="0.25">
      <c r="C347" s="2" t="s">
        <v>77</v>
      </c>
      <c r="H347" s="16">
        <v>0.95400265369305615</v>
      </c>
      <c r="J347" s="18">
        <v>2157000</v>
      </c>
    </row>
    <row r="348" spans="2:10" ht="15.95" customHeight="1" x14ac:dyDescent="0.25">
      <c r="H348" s="16">
        <v>1</v>
      </c>
      <c r="J348" s="18">
        <v>2261000</v>
      </c>
    </row>
    <row r="350" spans="2:10" ht="15.95" customHeight="1" x14ac:dyDescent="0.25">
      <c r="B350" s="4">
        <v>5</v>
      </c>
      <c r="C350" s="2" t="s">
        <v>78</v>
      </c>
    </row>
    <row r="351" spans="2:10" ht="15.95" customHeight="1" x14ac:dyDescent="0.25">
      <c r="C351" s="2" t="s">
        <v>79</v>
      </c>
      <c r="H351" s="16" t="s">
        <v>47</v>
      </c>
      <c r="J351" s="18">
        <v>4165340</v>
      </c>
    </row>
    <row r="352" spans="2:10" ht="15.95" customHeight="1" x14ac:dyDescent="0.25">
      <c r="D352" s="2" t="s">
        <v>80</v>
      </c>
      <c r="F352" s="18">
        <v>1401529</v>
      </c>
      <c r="H352" s="16">
        <v>0.33647409335132306</v>
      </c>
      <c r="J352" s="18" t="s">
        <v>47</v>
      </c>
    </row>
    <row r="353" spans="4:10" ht="15.95" customHeight="1" x14ac:dyDescent="0.25">
      <c r="D353" s="2" t="s">
        <v>81</v>
      </c>
      <c r="F353" s="18">
        <v>1007107</v>
      </c>
      <c r="H353" s="16">
        <v>0.24178266360009026</v>
      </c>
      <c r="J353" s="18" t="s">
        <v>47</v>
      </c>
    </row>
    <row r="354" spans="4:10" ht="15.95" customHeight="1" x14ac:dyDescent="0.25">
      <c r="D354" s="2" t="s">
        <v>82</v>
      </c>
      <c r="F354" s="18">
        <v>400</v>
      </c>
      <c r="H354" s="16">
        <v>9.603057613544152E-5</v>
      </c>
      <c r="J354" s="18" t="s">
        <v>47</v>
      </c>
    </row>
    <row r="355" spans="4:10" ht="15.95" customHeight="1" x14ac:dyDescent="0.25">
      <c r="D355" s="2" t="s">
        <v>84</v>
      </c>
      <c r="F355" s="18">
        <v>114120</v>
      </c>
      <c r="H355" s="16">
        <v>2.7397523371441468E-2</v>
      </c>
      <c r="J355" s="18" t="s">
        <v>47</v>
      </c>
    </row>
    <row r="356" spans="4:10" ht="15.95" customHeight="1" x14ac:dyDescent="0.25">
      <c r="D356" s="2" t="s">
        <v>85</v>
      </c>
      <c r="F356" s="18">
        <v>0</v>
      </c>
      <c r="H356" s="16">
        <v>0</v>
      </c>
    </row>
    <row r="357" spans="4:10" ht="15.95" customHeight="1" x14ac:dyDescent="0.25">
      <c r="D357" s="2" t="s">
        <v>86</v>
      </c>
      <c r="F357" s="18">
        <v>666589</v>
      </c>
      <c r="H357" s="16">
        <v>0.16003231428886958</v>
      </c>
      <c r="J357" s="18" t="s">
        <v>47</v>
      </c>
    </row>
    <row r="358" spans="4:10" ht="15.95" customHeight="1" x14ac:dyDescent="0.25">
      <c r="D358" s="2" t="s">
        <v>87</v>
      </c>
      <c r="F358" s="18">
        <v>371936</v>
      </c>
      <c r="H358" s="16">
        <v>8.9293070913778944E-2</v>
      </c>
      <c r="J358" s="18" t="s">
        <v>47</v>
      </c>
    </row>
    <row r="359" spans="4:10" ht="15.95" customHeight="1" x14ac:dyDescent="0.25">
      <c r="D359" s="2" t="s">
        <v>88</v>
      </c>
      <c r="F359" s="18">
        <v>66800</v>
      </c>
      <c r="H359" s="16">
        <v>1.6037106214618735E-2</v>
      </c>
      <c r="J359" s="18">
        <v>0</v>
      </c>
    </row>
    <row r="360" spans="4:10" ht="15.95" customHeight="1" x14ac:dyDescent="0.25">
      <c r="D360" s="2" t="s">
        <v>107</v>
      </c>
      <c r="F360" s="18">
        <v>108000</v>
      </c>
      <c r="H360" s="16">
        <v>2.5928255556569212E-2</v>
      </c>
      <c r="J360" s="18">
        <v>0</v>
      </c>
    </row>
    <row r="361" spans="4:10" ht="15.95" customHeight="1" x14ac:dyDescent="0.25">
      <c r="D361" s="2" t="s">
        <v>11</v>
      </c>
      <c r="F361" s="18">
        <v>56000</v>
      </c>
      <c r="H361" s="16">
        <v>1.3444280658961813E-2</v>
      </c>
      <c r="J361" s="18">
        <v>0</v>
      </c>
    </row>
    <row r="362" spans="4:10" ht="15.95" customHeight="1" x14ac:dyDescent="0.25">
      <c r="D362" s="2" t="s">
        <v>89</v>
      </c>
      <c r="F362" s="18">
        <v>372859</v>
      </c>
      <c r="H362" s="16">
        <v>8.9514661468211479E-2</v>
      </c>
      <c r="J362" s="18" t="s">
        <v>47</v>
      </c>
    </row>
    <row r="363" spans="4:10" ht="15.95" customHeight="1" x14ac:dyDescent="0.25">
      <c r="H363" s="16">
        <v>0.99999999999999989</v>
      </c>
      <c r="J363" s="18">
        <v>4165340</v>
      </c>
    </row>
    <row r="368" spans="4:10" ht="15.95" customHeight="1" x14ac:dyDescent="0.25">
      <c r="G368" s="5" t="s">
        <v>0</v>
      </c>
      <c r="H368" s="16" t="s">
        <v>1</v>
      </c>
      <c r="J368" s="18" t="s">
        <v>2</v>
      </c>
    </row>
    <row r="370" spans="2:10" ht="15.95" customHeight="1" x14ac:dyDescent="0.25">
      <c r="B370" s="4">
        <v>4</v>
      </c>
      <c r="C370" s="2" t="s">
        <v>3</v>
      </c>
    </row>
    <row r="372" spans="2:10" ht="15.95" customHeight="1" x14ac:dyDescent="0.25">
      <c r="C372" s="2" t="s">
        <v>4</v>
      </c>
      <c r="J372" s="18">
        <v>421154.98000000324</v>
      </c>
    </row>
    <row r="373" spans="2:10" ht="15.95" customHeight="1" x14ac:dyDescent="0.25">
      <c r="C373" s="2" t="s">
        <v>5</v>
      </c>
    </row>
    <row r="374" spans="2:10" ht="15.95" customHeight="1" x14ac:dyDescent="0.25">
      <c r="C374" s="2" t="s">
        <v>6</v>
      </c>
      <c r="J374" s="18">
        <v>-621473</v>
      </c>
    </row>
    <row r="376" spans="2:10" ht="15.95" customHeight="1" x14ac:dyDescent="0.25">
      <c r="J376" s="18">
        <v>-200318.01999999676</v>
      </c>
    </row>
    <row r="377" spans="2:10" ht="15.95" customHeight="1" x14ac:dyDescent="0.25">
      <c r="B377" s="4">
        <v>1</v>
      </c>
      <c r="C377" s="2" t="s">
        <v>7</v>
      </c>
    </row>
    <row r="378" spans="2:10" ht="15.95" customHeight="1" x14ac:dyDescent="0.25">
      <c r="B378" s="4" t="s">
        <v>8</v>
      </c>
      <c r="C378" s="2" t="s">
        <v>9</v>
      </c>
      <c r="H378" s="16">
        <v>0.21842654136425607</v>
      </c>
      <c r="J378" s="18">
        <v>573401</v>
      </c>
    </row>
    <row r="379" spans="2:10" ht="15.95" customHeight="1" x14ac:dyDescent="0.25">
      <c r="C379" s="2" t="s">
        <v>10</v>
      </c>
      <c r="G379" s="5">
        <v>1.1000000000000001</v>
      </c>
      <c r="H379" s="16">
        <v>0.73885198341334068</v>
      </c>
      <c r="J379" s="18">
        <v>1939592.43</v>
      </c>
    </row>
    <row r="380" spans="2:10" ht="15.95" customHeight="1" x14ac:dyDescent="0.25">
      <c r="C380" s="2" t="s">
        <v>11</v>
      </c>
      <c r="G380" s="5">
        <v>1.2</v>
      </c>
      <c r="H380" s="16">
        <v>4.2721475222403375E-2</v>
      </c>
      <c r="J380" s="18">
        <v>112150</v>
      </c>
    </row>
    <row r="381" spans="2:10" ht="15.95" customHeight="1" x14ac:dyDescent="0.25">
      <c r="C381" s="2" t="s">
        <v>12</v>
      </c>
      <c r="H381" s="16">
        <v>0</v>
      </c>
      <c r="J381" s="18">
        <v>0</v>
      </c>
    </row>
    <row r="382" spans="2:10" ht="15.95" customHeight="1" x14ac:dyDescent="0.25">
      <c r="H382" s="16">
        <v>1.0000000000000002</v>
      </c>
      <c r="J382" s="18">
        <v>2625143.4299999997</v>
      </c>
    </row>
    <row r="384" spans="2:10" ht="15.95" customHeight="1" x14ac:dyDescent="0.25">
      <c r="B384" s="4">
        <v>1.1000000000000001</v>
      </c>
      <c r="C384" s="2" t="s">
        <v>10</v>
      </c>
    </row>
    <row r="385" spans="2:12" ht="15.95" customHeight="1" x14ac:dyDescent="0.25">
      <c r="C385" s="2" t="s">
        <v>13</v>
      </c>
      <c r="H385" s="16">
        <v>4.7020187638080232E-2</v>
      </c>
      <c r="J385" s="18">
        <v>91200</v>
      </c>
    </row>
    <row r="386" spans="2:12" ht="15.95" customHeight="1" x14ac:dyDescent="0.25">
      <c r="C386" s="2" t="s">
        <v>14</v>
      </c>
      <c r="H386" s="16">
        <v>0.13164265649356036</v>
      </c>
      <c r="J386" s="18">
        <v>255333.1</v>
      </c>
      <c r="L386" s="2">
        <v>0.34999998041773667</v>
      </c>
    </row>
    <row r="387" spans="2:12" ht="15.95" customHeight="1" x14ac:dyDescent="0.25">
      <c r="C387" s="2" t="s">
        <v>15</v>
      </c>
      <c r="H387" s="16">
        <v>6.6368582393363948E-2</v>
      </c>
      <c r="J387" s="18">
        <v>128728</v>
      </c>
      <c r="L387" s="2">
        <v>0.35000000000000003</v>
      </c>
    </row>
    <row r="388" spans="2:12" ht="15.95" customHeight="1" x14ac:dyDescent="0.25">
      <c r="C388" s="2" t="s">
        <v>16</v>
      </c>
      <c r="H388" s="16">
        <v>5.1710327617642854E-2</v>
      </c>
      <c r="J388" s="18">
        <v>100296.96000000001</v>
      </c>
      <c r="L388" s="2">
        <v>0.34999994017764846</v>
      </c>
    </row>
    <row r="389" spans="2:12" ht="15.95" customHeight="1" x14ac:dyDescent="0.25">
      <c r="C389" s="2" t="s">
        <v>17</v>
      </c>
      <c r="H389" s="16">
        <v>6.0886461595439409E-2</v>
      </c>
      <c r="J389" s="18">
        <v>118094.92</v>
      </c>
      <c r="L389" s="2">
        <v>0.34999998306447055</v>
      </c>
    </row>
    <row r="390" spans="2:12" ht="15.95" customHeight="1" x14ac:dyDescent="0.25">
      <c r="C390" s="2" t="s">
        <v>18</v>
      </c>
      <c r="H390" s="16">
        <v>0.12105636027874166</v>
      </c>
      <c r="J390" s="18">
        <v>234800</v>
      </c>
      <c r="L390" s="2">
        <v>0.3</v>
      </c>
    </row>
    <row r="391" spans="2:12" ht="15.95" customHeight="1" x14ac:dyDescent="0.25">
      <c r="C391" s="2" t="s">
        <v>112</v>
      </c>
      <c r="H391" s="16">
        <v>8.4905466454104489E-2</v>
      </c>
      <c r="J391" s="18">
        <v>164682</v>
      </c>
      <c r="L391" s="2">
        <v>9.375645182837225E-2</v>
      </c>
    </row>
    <row r="392" spans="2:12" ht="15.95" customHeight="1" x14ac:dyDescent="0.25">
      <c r="C392" s="2" t="s">
        <v>20</v>
      </c>
      <c r="H392" s="16">
        <v>1.1600375239657953E-2</v>
      </c>
      <c r="J392" s="18">
        <v>22500</v>
      </c>
      <c r="L392" s="2">
        <v>3.1306666666666665</v>
      </c>
    </row>
    <row r="393" spans="2:12" ht="15.95" customHeight="1" x14ac:dyDescent="0.25">
      <c r="C393" s="2" t="s">
        <v>21</v>
      </c>
      <c r="H393" s="16">
        <v>0.2418033772177591</v>
      </c>
      <c r="J393" s="18">
        <v>469000</v>
      </c>
      <c r="L393" s="2">
        <v>0.93155307569296375</v>
      </c>
    </row>
    <row r="394" spans="2:12" ht="15.95" customHeight="1" x14ac:dyDescent="0.25">
      <c r="C394" s="2" t="s">
        <v>22</v>
      </c>
      <c r="H394" s="16">
        <v>3.9802176377848622E-2</v>
      </c>
      <c r="J394" s="18">
        <v>77200</v>
      </c>
      <c r="L394" s="2">
        <v>0</v>
      </c>
    </row>
    <row r="395" spans="2:12" ht="15.95" customHeight="1" x14ac:dyDescent="0.25">
      <c r="C395" s="2" t="s">
        <v>23</v>
      </c>
      <c r="H395" s="16">
        <v>0.14320402869380142</v>
      </c>
      <c r="J395" s="18">
        <v>277757.45</v>
      </c>
    </row>
    <row r="396" spans="2:12" ht="15.95" customHeight="1" x14ac:dyDescent="0.25">
      <c r="H396" s="16">
        <v>1</v>
      </c>
      <c r="J396" s="18">
        <v>1939592.43</v>
      </c>
    </row>
    <row r="398" spans="2:12" ht="15.95" customHeight="1" x14ac:dyDescent="0.25">
      <c r="B398" s="4">
        <v>1.2</v>
      </c>
      <c r="C398" s="2" t="s">
        <v>11</v>
      </c>
    </row>
    <row r="399" spans="2:12" ht="15.95" customHeight="1" x14ac:dyDescent="0.25">
      <c r="C399" s="2" t="s">
        <v>113</v>
      </c>
      <c r="E399" s="2" t="s">
        <v>25</v>
      </c>
      <c r="H399" s="16">
        <v>1</v>
      </c>
      <c r="J399" s="18">
        <v>112150</v>
      </c>
    </row>
    <row r="400" spans="2:12" ht="15.95" customHeight="1" x14ac:dyDescent="0.25">
      <c r="H400" s="16">
        <v>1</v>
      </c>
      <c r="J400" s="18">
        <v>112150</v>
      </c>
    </row>
    <row r="402" spans="2:10" ht="15.95" customHeight="1" x14ac:dyDescent="0.25">
      <c r="B402" s="4">
        <v>2</v>
      </c>
      <c r="C402" s="2" t="s">
        <v>26</v>
      </c>
    </row>
    <row r="404" spans="2:10" ht="15.95" customHeight="1" x14ac:dyDescent="0.25">
      <c r="C404" s="2" t="s">
        <v>27</v>
      </c>
      <c r="H404" s="16">
        <v>0.66490869609693459</v>
      </c>
      <c r="J404" s="18">
        <v>1131814.2000000002</v>
      </c>
    </row>
    <row r="405" spans="2:10" ht="15.95" customHeight="1" x14ac:dyDescent="0.25">
      <c r="C405" s="2" t="s">
        <v>28</v>
      </c>
      <c r="H405" s="16">
        <v>1.1655354247495505E-2</v>
      </c>
      <c r="J405" s="18">
        <v>19839.86</v>
      </c>
    </row>
    <row r="406" spans="2:10" ht="15.95" customHeight="1" x14ac:dyDescent="0.25">
      <c r="C406" s="2" t="s">
        <v>29</v>
      </c>
      <c r="G406" s="5">
        <v>2.1</v>
      </c>
      <c r="H406" s="16">
        <v>0.25666539656775972</v>
      </c>
      <c r="J406" s="18">
        <v>436898.39250000002</v>
      </c>
    </row>
    <row r="407" spans="2:10" ht="15.95" customHeight="1" x14ac:dyDescent="0.25">
      <c r="C407" s="2" t="s">
        <v>30</v>
      </c>
      <c r="H407" s="16">
        <v>0</v>
      </c>
      <c r="J407" s="18">
        <v>0</v>
      </c>
    </row>
    <row r="408" spans="2:10" ht="15.95" customHeight="1" x14ac:dyDescent="0.25">
      <c r="C408" s="2" t="s">
        <v>31</v>
      </c>
      <c r="H408" s="16">
        <v>1.2723166121894705E-2</v>
      </c>
      <c r="J408" s="18">
        <v>21657.5</v>
      </c>
    </row>
    <row r="409" spans="2:10" ht="15.95" customHeight="1" x14ac:dyDescent="0.25">
      <c r="C409" s="2" t="s">
        <v>114</v>
      </c>
      <c r="H409" s="16">
        <v>5.4047386965915406E-2</v>
      </c>
      <c r="J409" s="18">
        <v>92000</v>
      </c>
    </row>
    <row r="410" spans="2:10" ht="15.95" customHeight="1" x14ac:dyDescent="0.25">
      <c r="H410" s="16">
        <v>0.99999999999999989</v>
      </c>
      <c r="J410" s="18">
        <v>1702209.9525000004</v>
      </c>
    </row>
    <row r="412" spans="2:10" ht="15.95" customHeight="1" x14ac:dyDescent="0.25">
      <c r="B412" s="4">
        <v>2.1</v>
      </c>
      <c r="C412" s="2" t="s">
        <v>32</v>
      </c>
    </row>
    <row r="413" spans="2:10" ht="15.95" customHeight="1" x14ac:dyDescent="0.25">
      <c r="B413" s="4">
        <v>0</v>
      </c>
      <c r="C413" s="2" t="s">
        <v>33</v>
      </c>
    </row>
    <row r="415" spans="2:10" ht="15.95" customHeight="1" x14ac:dyDescent="0.25">
      <c r="C415" s="2" t="s">
        <v>9</v>
      </c>
      <c r="H415" s="16">
        <v>0.23314531332938787</v>
      </c>
      <c r="J415" s="18">
        <v>152851</v>
      </c>
    </row>
    <row r="416" spans="2:10" ht="15.95" customHeight="1" x14ac:dyDescent="0.25">
      <c r="C416" s="2" t="s">
        <v>10</v>
      </c>
      <c r="G416" s="5" t="e">
        <v>#REF!</v>
      </c>
      <c r="H416" s="16">
        <v>0.52203921879671267</v>
      </c>
      <c r="J416" s="18">
        <v>342251</v>
      </c>
    </row>
    <row r="417" spans="2:10" ht="15.95" customHeight="1" x14ac:dyDescent="0.25">
      <c r="C417" s="2" t="s">
        <v>12</v>
      </c>
      <c r="H417" s="16">
        <v>0.24481546787389949</v>
      </c>
      <c r="J417" s="18">
        <v>160502</v>
      </c>
    </row>
    <row r="418" spans="2:10" ht="15.95" customHeight="1" x14ac:dyDescent="0.25">
      <c r="H418" s="16">
        <v>1</v>
      </c>
      <c r="J418" s="18">
        <v>655604</v>
      </c>
    </row>
    <row r="420" spans="2:10" ht="15.95" customHeight="1" x14ac:dyDescent="0.25">
      <c r="C420" s="2" t="s">
        <v>34</v>
      </c>
      <c r="H420" s="16">
        <v>5.2186046896476046E-2</v>
      </c>
      <c r="J420" s="18">
        <v>22800</v>
      </c>
    </row>
    <row r="421" spans="2:10" ht="15.95" customHeight="1" x14ac:dyDescent="0.25">
      <c r="C421" s="2" t="s">
        <v>35</v>
      </c>
      <c r="H421" s="16">
        <v>0.20454774275691573</v>
      </c>
      <c r="J421" s="18">
        <v>89366.58</v>
      </c>
    </row>
    <row r="422" spans="2:10" ht="15.95" customHeight="1" x14ac:dyDescent="0.25">
      <c r="C422" s="2" t="s">
        <v>36</v>
      </c>
      <c r="D422" s="2" t="s">
        <v>25</v>
      </c>
      <c r="H422" s="16">
        <v>0.10312420639084866</v>
      </c>
      <c r="J422" s="18">
        <v>45054.8</v>
      </c>
    </row>
    <row r="423" spans="2:10" ht="15.95" customHeight="1" x14ac:dyDescent="0.25">
      <c r="C423" s="2" t="s">
        <v>37</v>
      </c>
      <c r="H423" s="16">
        <v>8.0348041106605803E-2</v>
      </c>
      <c r="J423" s="18">
        <v>35103.93</v>
      </c>
    </row>
    <row r="424" spans="2:10" ht="15.95" customHeight="1" x14ac:dyDescent="0.25">
      <c r="C424" s="2" t="s">
        <v>38</v>
      </c>
      <c r="H424" s="16">
        <v>9.4606024443086037E-2</v>
      </c>
      <c r="J424" s="18">
        <v>41333.22</v>
      </c>
    </row>
    <row r="425" spans="2:10" ht="15.95" customHeight="1" x14ac:dyDescent="0.25">
      <c r="C425" s="2" t="s">
        <v>42</v>
      </c>
      <c r="H425" s="16">
        <v>0.16122741856963915</v>
      </c>
      <c r="J425" s="18">
        <v>70440</v>
      </c>
    </row>
    <row r="426" spans="2:10" ht="15.95" customHeight="1" x14ac:dyDescent="0.25">
      <c r="C426" s="2" t="s">
        <v>115</v>
      </c>
      <c r="H426" s="16">
        <v>9.4233580866288025E-2</v>
      </c>
      <c r="J426" s="18">
        <v>41170.5</v>
      </c>
    </row>
    <row r="427" spans="2:10" ht="15.95" customHeight="1" x14ac:dyDescent="0.25">
      <c r="C427" s="2" t="s">
        <v>43</v>
      </c>
      <c r="H427" s="16">
        <v>0.1589370977143158</v>
      </c>
      <c r="J427" s="18">
        <v>69439.362500000003</v>
      </c>
    </row>
    <row r="428" spans="2:10" ht="15.95" customHeight="1" x14ac:dyDescent="0.25">
      <c r="C428" s="2" t="s">
        <v>39</v>
      </c>
      <c r="H428" s="16">
        <v>1.5449816515404093E-2</v>
      </c>
      <c r="J428" s="18">
        <v>6750</v>
      </c>
    </row>
    <row r="429" spans="2:10" ht="15.95" customHeight="1" x14ac:dyDescent="0.25">
      <c r="C429" s="2" t="s">
        <v>116</v>
      </c>
      <c r="H429" s="16">
        <v>3.5340024740420618E-2</v>
      </c>
      <c r="J429" s="18">
        <v>15440</v>
      </c>
    </row>
    <row r="430" spans="2:10" ht="15.95" customHeight="1" x14ac:dyDescent="0.25">
      <c r="H430" s="16">
        <v>1</v>
      </c>
      <c r="J430" s="18">
        <v>436898.39250000002</v>
      </c>
    </row>
    <row r="431" spans="2:10" ht="15.95" customHeight="1" x14ac:dyDescent="0.25">
      <c r="B431" s="4">
        <v>3</v>
      </c>
      <c r="C431" s="2" t="s">
        <v>44</v>
      </c>
    </row>
    <row r="432" spans="2:10" ht="15.95" customHeight="1" x14ac:dyDescent="0.25">
      <c r="C432" s="2" t="s">
        <v>45</v>
      </c>
      <c r="H432" s="16">
        <v>0.20437901574809952</v>
      </c>
      <c r="J432" s="18">
        <v>226000</v>
      </c>
    </row>
    <row r="433" spans="3:10" ht="15.95" customHeight="1" x14ac:dyDescent="0.25">
      <c r="D433" s="2" t="s">
        <v>46</v>
      </c>
      <c r="F433" s="18">
        <v>50000</v>
      </c>
      <c r="H433" s="16" t="s">
        <v>47</v>
      </c>
      <c r="J433" s="18" t="s">
        <v>47</v>
      </c>
    </row>
    <row r="434" spans="3:10" ht="15.95" customHeight="1" x14ac:dyDescent="0.25">
      <c r="D434" s="2" t="s">
        <v>48</v>
      </c>
      <c r="F434" s="18">
        <v>20000</v>
      </c>
      <c r="H434" s="16" t="s">
        <v>47</v>
      </c>
      <c r="J434" s="18" t="s">
        <v>47</v>
      </c>
    </row>
    <row r="435" spans="3:10" ht="15.95" customHeight="1" x14ac:dyDescent="0.25">
      <c r="D435" s="2" t="s">
        <v>49</v>
      </c>
      <c r="F435" s="18">
        <v>75000</v>
      </c>
      <c r="H435" s="16" t="s">
        <v>47</v>
      </c>
      <c r="J435" s="18" t="s">
        <v>47</v>
      </c>
    </row>
    <row r="436" spans="3:10" ht="15.95" customHeight="1" x14ac:dyDescent="0.25">
      <c r="D436" s="2" t="s">
        <v>50</v>
      </c>
      <c r="F436" s="18">
        <v>35000</v>
      </c>
      <c r="H436" s="16" t="s">
        <v>47</v>
      </c>
      <c r="J436" s="18" t="s">
        <v>47</v>
      </c>
    </row>
    <row r="437" spans="3:10" ht="15.95" customHeight="1" x14ac:dyDescent="0.25">
      <c r="D437" s="2" t="s">
        <v>94</v>
      </c>
      <c r="F437" s="18">
        <v>35000</v>
      </c>
      <c r="H437" s="16" t="s">
        <v>47</v>
      </c>
      <c r="J437" s="18" t="s">
        <v>47</v>
      </c>
    </row>
    <row r="438" spans="3:10" ht="15.95" customHeight="1" x14ac:dyDescent="0.25">
      <c r="D438" s="2" t="s">
        <v>52</v>
      </c>
      <c r="F438" s="18">
        <v>11000</v>
      </c>
      <c r="H438" s="16" t="s">
        <v>47</v>
      </c>
      <c r="J438" s="18" t="s">
        <v>47</v>
      </c>
    </row>
    <row r="439" spans="3:10" ht="15.95" customHeight="1" x14ac:dyDescent="0.25">
      <c r="C439" s="2" t="s">
        <v>53</v>
      </c>
      <c r="H439" s="16">
        <v>2.7129957842668077E-2</v>
      </c>
      <c r="J439" s="18">
        <v>30000</v>
      </c>
    </row>
    <row r="440" spans="3:10" ht="15.95" customHeight="1" x14ac:dyDescent="0.25">
      <c r="D440" s="2" t="s">
        <v>95</v>
      </c>
      <c r="F440" s="18">
        <v>30000</v>
      </c>
    </row>
    <row r="441" spans="3:10" ht="15.95" customHeight="1" x14ac:dyDescent="0.25">
      <c r="C441" s="2" t="s">
        <v>54</v>
      </c>
      <c r="H441" s="16">
        <v>3.556014007631314E-2</v>
      </c>
      <c r="J441" s="18">
        <v>39322</v>
      </c>
    </row>
    <row r="442" spans="3:10" ht="15.95" customHeight="1" x14ac:dyDescent="0.25">
      <c r="C442" s="2" t="s">
        <v>57</v>
      </c>
      <c r="H442" s="16">
        <v>8.9782073820669564E-3</v>
      </c>
      <c r="J442" s="18">
        <v>9928</v>
      </c>
    </row>
    <row r="443" spans="3:10" ht="15.95" customHeight="1" x14ac:dyDescent="0.25">
      <c r="C443" s="2" t="s">
        <v>58</v>
      </c>
      <c r="H443" s="16">
        <v>0.18299427864458045</v>
      </c>
      <c r="J443" s="18">
        <v>202353</v>
      </c>
    </row>
    <row r="444" spans="3:10" ht="15.95" customHeight="1" x14ac:dyDescent="0.25">
      <c r="D444" s="2" t="s">
        <v>97</v>
      </c>
      <c r="F444" s="18">
        <v>20077.88</v>
      </c>
      <c r="J444" s="18">
        <v>0</v>
      </c>
    </row>
    <row r="445" spans="3:10" ht="15.95" customHeight="1" x14ac:dyDescent="0.25">
      <c r="D445" s="2" t="s">
        <v>98</v>
      </c>
      <c r="F445" s="18">
        <v>70275.37</v>
      </c>
    </row>
    <row r="446" spans="3:10" ht="15.95" customHeight="1" x14ac:dyDescent="0.25">
      <c r="D446" s="2" t="s">
        <v>117</v>
      </c>
      <c r="F446" s="18">
        <v>87000</v>
      </c>
    </row>
    <row r="447" spans="3:10" ht="15.95" customHeight="1" x14ac:dyDescent="0.25">
      <c r="D447" s="2" t="s">
        <v>118</v>
      </c>
      <c r="F447" s="18">
        <v>25000</v>
      </c>
    </row>
    <row r="448" spans="3:10" ht="15.95" customHeight="1" x14ac:dyDescent="0.25">
      <c r="C448" s="2" t="s">
        <v>60</v>
      </c>
      <c r="H448" s="16">
        <v>1.1167784889675167E-2</v>
      </c>
      <c r="J448" s="18">
        <v>12349.21</v>
      </c>
    </row>
    <row r="449" spans="2:10" ht="15.95" customHeight="1" x14ac:dyDescent="0.25">
      <c r="C449" s="2" t="s">
        <v>61</v>
      </c>
      <c r="H449" s="16">
        <v>1.2466079978916769E-2</v>
      </c>
      <c r="J449" s="18">
        <v>13784.85</v>
      </c>
    </row>
    <row r="450" spans="2:10" ht="15.95" customHeight="1" x14ac:dyDescent="0.25">
      <c r="C450" s="2" t="s">
        <v>62</v>
      </c>
      <c r="H450" s="16">
        <v>2.061876796042774E-3</v>
      </c>
      <c r="J450" s="18">
        <v>2280</v>
      </c>
    </row>
    <row r="451" spans="2:10" ht="15.95" customHeight="1" x14ac:dyDescent="0.25">
      <c r="C451" s="2" t="s">
        <v>63</v>
      </c>
      <c r="H451" s="16">
        <v>0.2848645573480148</v>
      </c>
      <c r="J451" s="18">
        <v>315000</v>
      </c>
    </row>
    <row r="452" spans="2:10" ht="15.95" customHeight="1" x14ac:dyDescent="0.25">
      <c r="D452" s="2" t="s">
        <v>64</v>
      </c>
      <c r="F452" s="18">
        <v>65000</v>
      </c>
    </row>
    <row r="453" spans="2:10" ht="15.95" customHeight="1" x14ac:dyDescent="0.25">
      <c r="D453" s="2" t="s">
        <v>65</v>
      </c>
      <c r="F453" s="18">
        <v>250000</v>
      </c>
    </row>
    <row r="454" spans="2:10" ht="15.95" customHeight="1" x14ac:dyDescent="0.25">
      <c r="C454" s="2" t="s">
        <v>66</v>
      </c>
      <c r="H454" s="16">
        <v>5.9658777296027104E-3</v>
      </c>
      <c r="J454" s="18">
        <v>6597</v>
      </c>
    </row>
    <row r="455" spans="2:10" ht="15.95" customHeight="1" x14ac:dyDescent="0.25">
      <c r="C455" s="2" t="s">
        <v>67</v>
      </c>
      <c r="H455" s="16">
        <v>3.6824396111781472E-3</v>
      </c>
      <c r="J455" s="18">
        <v>4072</v>
      </c>
    </row>
    <row r="456" spans="2:10" ht="15.95" customHeight="1" x14ac:dyDescent="0.25">
      <c r="C456" s="2" t="s">
        <v>102</v>
      </c>
      <c r="H456" s="16">
        <v>1.6024409076283989E-2</v>
      </c>
      <c r="J456" s="18">
        <v>17719.61</v>
      </c>
    </row>
    <row r="457" spans="2:10" ht="15.95" customHeight="1" x14ac:dyDescent="0.25">
      <c r="C457" s="2" t="s">
        <v>119</v>
      </c>
      <c r="H457" s="16">
        <v>0.18990970489867653</v>
      </c>
      <c r="J457" s="18">
        <v>210000</v>
      </c>
    </row>
    <row r="458" spans="2:10" ht="15.95" customHeight="1" x14ac:dyDescent="0.25">
      <c r="C458" s="2" t="s">
        <v>120</v>
      </c>
      <c r="H458" s="16">
        <v>1.4815669977881037E-2</v>
      </c>
      <c r="J458" s="18">
        <v>16383</v>
      </c>
    </row>
    <row r="459" spans="2:10" ht="15.95" customHeight="1" x14ac:dyDescent="0.25">
      <c r="H459" s="16">
        <v>1</v>
      </c>
      <c r="J459" s="18">
        <v>1105788.67</v>
      </c>
    </row>
    <row r="460" spans="2:10" ht="15.95" customHeight="1" x14ac:dyDescent="0.25">
      <c r="B460" s="4">
        <v>4</v>
      </c>
      <c r="C460" s="2" t="s">
        <v>70</v>
      </c>
    </row>
    <row r="461" spans="2:10" ht="15.95" customHeight="1" x14ac:dyDescent="0.25">
      <c r="C461" s="2" t="s">
        <v>71</v>
      </c>
      <c r="H461" s="16" t="s">
        <v>47</v>
      </c>
      <c r="J461" s="18">
        <v>3256405</v>
      </c>
    </row>
    <row r="462" spans="2:10" ht="15.95" customHeight="1" x14ac:dyDescent="0.25">
      <c r="D462" s="2" t="s">
        <v>73</v>
      </c>
      <c r="F462" s="18">
        <v>3226405</v>
      </c>
      <c r="H462" s="16">
        <v>0.99078738670404942</v>
      </c>
    </row>
    <row r="463" spans="2:10" ht="15.95" customHeight="1" x14ac:dyDescent="0.25">
      <c r="D463" s="2" t="s">
        <v>72</v>
      </c>
      <c r="F463" s="18">
        <v>30000</v>
      </c>
      <c r="H463" s="16">
        <v>9.2126132959505953E-3</v>
      </c>
      <c r="J463" s="18" t="s">
        <v>47</v>
      </c>
    </row>
    <row r="464" spans="2:10" ht="15.95" customHeight="1" x14ac:dyDescent="0.25">
      <c r="D464" s="2" t="s">
        <v>74</v>
      </c>
      <c r="F464" s="18">
        <v>0</v>
      </c>
      <c r="H464" s="16">
        <v>0</v>
      </c>
    </row>
    <row r="465" spans="2:13" ht="15.95" customHeight="1" x14ac:dyDescent="0.25">
      <c r="H465" s="16">
        <v>1</v>
      </c>
      <c r="J465" s="18">
        <v>3256405</v>
      </c>
    </row>
    <row r="467" spans="2:13" ht="15.95" customHeight="1" x14ac:dyDescent="0.25">
      <c r="B467" s="4">
        <v>4.0999999999999996</v>
      </c>
      <c r="C467" s="2" t="s">
        <v>75</v>
      </c>
    </row>
    <row r="468" spans="2:13" ht="15.95" customHeight="1" x14ac:dyDescent="0.25">
      <c r="C468" s="2" t="s">
        <v>76</v>
      </c>
      <c r="H468" s="16">
        <v>4.3458980044345896E-2</v>
      </c>
      <c r="J468" s="18">
        <v>98000</v>
      </c>
    </row>
    <row r="469" spans="2:13" ht="15.95" customHeight="1" x14ac:dyDescent="0.25">
      <c r="D469" s="2" t="s">
        <v>72</v>
      </c>
      <c r="F469" s="18">
        <v>0</v>
      </c>
      <c r="H469" s="16" t="s">
        <v>47</v>
      </c>
      <c r="J469" s="18" t="s">
        <v>47</v>
      </c>
      <c r="M469" s="2">
        <v>98000</v>
      </c>
    </row>
    <row r="470" spans="2:13" ht="15.95" customHeight="1" x14ac:dyDescent="0.25">
      <c r="C470" s="2" t="s">
        <v>77</v>
      </c>
      <c r="H470" s="16">
        <v>0.9565410199556541</v>
      </c>
      <c r="J470" s="18">
        <v>2157000</v>
      </c>
    </row>
    <row r="471" spans="2:13" ht="15.95" customHeight="1" x14ac:dyDescent="0.25">
      <c r="H471" s="16">
        <v>1</v>
      </c>
      <c r="J471" s="18">
        <v>2255000</v>
      </c>
    </row>
    <row r="473" spans="2:13" ht="15.95" customHeight="1" x14ac:dyDescent="0.25">
      <c r="B473" s="4">
        <v>5</v>
      </c>
      <c r="C473" s="2" t="s">
        <v>78</v>
      </c>
    </row>
    <row r="474" spans="2:13" ht="15.95" customHeight="1" x14ac:dyDescent="0.25">
      <c r="C474" s="2" t="s">
        <v>79</v>
      </c>
      <c r="H474" s="16" t="s">
        <v>47</v>
      </c>
      <c r="J474" s="18">
        <v>4339610</v>
      </c>
    </row>
    <row r="475" spans="2:13" ht="15.95" customHeight="1" x14ac:dyDescent="0.25">
      <c r="D475" s="2" t="s">
        <v>80</v>
      </c>
      <c r="F475" s="18">
        <v>1484772</v>
      </c>
      <c r="H475" s="16">
        <v>0.34214410972414572</v>
      </c>
      <c r="J475" s="18" t="s">
        <v>47</v>
      </c>
    </row>
    <row r="476" spans="2:13" ht="15.95" customHeight="1" x14ac:dyDescent="0.25">
      <c r="D476" s="2" t="s">
        <v>81</v>
      </c>
      <c r="F476" s="18">
        <v>1044030</v>
      </c>
      <c r="H476" s="16">
        <v>0.24058152691140447</v>
      </c>
      <c r="J476" s="18" t="s">
        <v>47</v>
      </c>
    </row>
    <row r="477" spans="2:13" ht="15.95" customHeight="1" x14ac:dyDescent="0.25">
      <c r="D477" s="2" t="s">
        <v>82</v>
      </c>
      <c r="F477" s="18">
        <v>400</v>
      </c>
      <c r="H477" s="16">
        <v>9.2174181550876697E-5</v>
      </c>
      <c r="J477" s="18" t="s">
        <v>47</v>
      </c>
    </row>
    <row r="478" spans="2:13" ht="15.95" customHeight="1" x14ac:dyDescent="0.25">
      <c r="D478" s="2" t="s">
        <v>84</v>
      </c>
      <c r="F478" s="18">
        <v>182520</v>
      </c>
      <c r="H478" s="16">
        <v>4.2059079041665032E-2</v>
      </c>
      <c r="J478" s="18" t="s">
        <v>47</v>
      </c>
    </row>
    <row r="479" spans="2:13" ht="15.95" customHeight="1" x14ac:dyDescent="0.25">
      <c r="D479" s="2" t="s">
        <v>85</v>
      </c>
      <c r="F479" s="18">
        <v>0</v>
      </c>
      <c r="H479" s="16">
        <v>0</v>
      </c>
    </row>
    <row r="480" spans="2:13" ht="15.95" customHeight="1" x14ac:dyDescent="0.25">
      <c r="D480" s="2" t="s">
        <v>86</v>
      </c>
      <c r="F480" s="18">
        <v>724128</v>
      </c>
      <c r="H480" s="16">
        <v>0.1668647643451831</v>
      </c>
      <c r="J480" s="18" t="s">
        <v>47</v>
      </c>
    </row>
    <row r="481" spans="2:16" ht="15.95" customHeight="1" x14ac:dyDescent="0.25">
      <c r="D481" s="2" t="s">
        <v>87</v>
      </c>
      <c r="F481" s="18">
        <v>327754</v>
      </c>
      <c r="H481" s="16">
        <v>7.5526141750065098E-2</v>
      </c>
      <c r="J481" s="18" t="s">
        <v>47</v>
      </c>
    </row>
    <row r="482" spans="2:16" ht="15.95" customHeight="1" x14ac:dyDescent="0.25">
      <c r="D482" s="2" t="s">
        <v>88</v>
      </c>
      <c r="F482" s="18">
        <v>61760</v>
      </c>
      <c r="H482" s="16">
        <v>1.423169363145536E-2</v>
      </c>
      <c r="J482" s="18">
        <v>0</v>
      </c>
    </row>
    <row r="483" spans="2:16" ht="15.95" customHeight="1" x14ac:dyDescent="0.25">
      <c r="D483" s="2" t="s">
        <v>107</v>
      </c>
      <c r="F483" s="18">
        <v>50000</v>
      </c>
      <c r="H483" s="16">
        <v>1.1521772693859586E-2</v>
      </c>
      <c r="J483" s="18">
        <v>0</v>
      </c>
    </row>
    <row r="484" spans="2:16" ht="15.95" customHeight="1" x14ac:dyDescent="0.25">
      <c r="D484" s="2" t="s">
        <v>11</v>
      </c>
      <c r="F484" s="18">
        <v>93800</v>
      </c>
      <c r="H484" s="16">
        <v>2.1614845573680583E-2</v>
      </c>
      <c r="J484" s="18">
        <v>0</v>
      </c>
    </row>
    <row r="485" spans="2:16" ht="15.95" customHeight="1" x14ac:dyDescent="0.25">
      <c r="D485" s="2" t="s">
        <v>121</v>
      </c>
      <c r="F485" s="18">
        <v>9520</v>
      </c>
      <c r="H485" s="16">
        <v>2.1937455209108652E-3</v>
      </c>
    </row>
    <row r="486" spans="2:16" ht="15.95" customHeight="1" x14ac:dyDescent="0.25">
      <c r="D486" s="2" t="s">
        <v>89</v>
      </c>
      <c r="F486" s="18">
        <v>360926</v>
      </c>
      <c r="H486" s="16">
        <v>8.31701466260793E-2</v>
      </c>
      <c r="J486" s="18" t="s">
        <v>47</v>
      </c>
      <c r="P486" s="2" t="s">
        <v>90</v>
      </c>
    </row>
    <row r="487" spans="2:16" ht="15.95" customHeight="1" x14ac:dyDescent="0.25">
      <c r="H487" s="16">
        <v>1</v>
      </c>
      <c r="J487" s="18">
        <v>4339610</v>
      </c>
    </row>
    <row r="491" spans="2:16" ht="15.95" customHeight="1" x14ac:dyDescent="0.25">
      <c r="G491" s="5" t="s">
        <v>0</v>
      </c>
      <c r="H491" s="16" t="s">
        <v>1</v>
      </c>
      <c r="J491" s="18" t="s">
        <v>2</v>
      </c>
    </row>
    <row r="493" spans="2:16" ht="15.95" customHeight="1" x14ac:dyDescent="0.25">
      <c r="B493" s="4">
        <v>4</v>
      </c>
      <c r="C493" s="2" t="s">
        <v>3</v>
      </c>
    </row>
    <row r="495" spans="2:16" ht="15.95" customHeight="1" x14ac:dyDescent="0.25">
      <c r="C495" s="2" t="s">
        <v>4</v>
      </c>
      <c r="J495" s="18">
        <v>421154.98000000324</v>
      </c>
    </row>
    <row r="496" spans="2:16" ht="15.95" customHeight="1" x14ac:dyDescent="0.25">
      <c r="C496" s="2" t="s">
        <v>5</v>
      </c>
    </row>
    <row r="497" spans="2:10" ht="15.95" customHeight="1" x14ac:dyDescent="0.25">
      <c r="C497" s="2" t="s">
        <v>6</v>
      </c>
      <c r="J497" s="18">
        <v>-621473</v>
      </c>
    </row>
    <row r="499" spans="2:10" ht="15.95" customHeight="1" x14ac:dyDescent="0.25">
      <c r="J499" s="18">
        <v>-200318.01999999676</v>
      </c>
    </row>
    <row r="500" spans="2:10" ht="15.95" customHeight="1" x14ac:dyDescent="0.25">
      <c r="B500" s="4">
        <v>1</v>
      </c>
      <c r="C500" s="2" t="s">
        <v>7</v>
      </c>
    </row>
    <row r="501" spans="2:10" ht="15.95" customHeight="1" x14ac:dyDescent="0.25">
      <c r="B501" s="4" t="s">
        <v>8</v>
      </c>
      <c r="C501" s="2" t="s">
        <v>9</v>
      </c>
      <c r="H501" s="16">
        <v>0.13058176096326474</v>
      </c>
      <c r="J501" s="18">
        <v>615600</v>
      </c>
    </row>
    <row r="502" spans="2:10" ht="15.95" customHeight="1" x14ac:dyDescent="0.25">
      <c r="C502" s="2" t="s">
        <v>10</v>
      </c>
      <c r="G502" s="5">
        <v>1.1000000000000001</v>
      </c>
      <c r="H502" s="16">
        <v>0.45710526818963099</v>
      </c>
      <c r="J502" s="18">
        <v>2154925.7800000003</v>
      </c>
    </row>
    <row r="503" spans="2:10" ht="15.95" customHeight="1" x14ac:dyDescent="0.25">
      <c r="C503" s="2" t="s">
        <v>12</v>
      </c>
      <c r="H503" s="16">
        <v>0.10612419592254929</v>
      </c>
      <c r="J503" s="18">
        <v>500300</v>
      </c>
    </row>
    <row r="504" spans="2:10" ht="15.95" customHeight="1" x14ac:dyDescent="0.25">
      <c r="C504" s="2" t="s">
        <v>11</v>
      </c>
      <c r="G504" s="5">
        <v>1.2</v>
      </c>
      <c r="H504" s="16">
        <v>0.30618877492455499</v>
      </c>
      <c r="J504" s="18">
        <v>1443462</v>
      </c>
    </row>
    <row r="505" spans="2:10" ht="15.95" customHeight="1" x14ac:dyDescent="0.25">
      <c r="C505" s="2" t="s">
        <v>12</v>
      </c>
      <c r="H505" s="16">
        <v>0</v>
      </c>
      <c r="J505" s="18">
        <v>0</v>
      </c>
    </row>
    <row r="506" spans="2:10" ht="15.95" customHeight="1" x14ac:dyDescent="0.25">
      <c r="H506" s="16">
        <v>1</v>
      </c>
      <c r="J506" s="18">
        <v>4714287.78</v>
      </c>
    </row>
    <row r="508" spans="2:10" ht="15.95" customHeight="1" x14ac:dyDescent="0.25">
      <c r="B508" s="4">
        <v>1.1000000000000001</v>
      </c>
      <c r="C508" s="2" t="s">
        <v>10</v>
      </c>
    </row>
    <row r="509" spans="2:10" ht="15.95" customHeight="1" x14ac:dyDescent="0.25">
      <c r="C509" s="2" t="s">
        <v>13</v>
      </c>
      <c r="H509" s="16">
        <v>4.640531053463938E-2</v>
      </c>
      <c r="J509" s="18">
        <v>100000</v>
      </c>
    </row>
    <row r="510" spans="2:10" ht="15.95" customHeight="1" x14ac:dyDescent="0.25">
      <c r="C510" s="2" t="s">
        <v>14</v>
      </c>
      <c r="H510" s="16">
        <v>0.14805614326076694</v>
      </c>
      <c r="J510" s="18">
        <v>319050</v>
      </c>
    </row>
    <row r="511" spans="2:10" ht="15.95" customHeight="1" x14ac:dyDescent="0.25">
      <c r="C511" s="2" t="s">
        <v>15</v>
      </c>
      <c r="H511" s="16">
        <v>5.2971661975290858E-2</v>
      </c>
      <c r="J511" s="18">
        <v>114150</v>
      </c>
    </row>
    <row r="512" spans="2:10" ht="15.95" customHeight="1" x14ac:dyDescent="0.25">
      <c r="C512" s="2" t="s">
        <v>16</v>
      </c>
      <c r="H512" s="16">
        <v>1.3179108191837584E-2</v>
      </c>
      <c r="J512" s="18">
        <v>28400</v>
      </c>
    </row>
    <row r="513" spans="2:10" ht="15.95" customHeight="1" x14ac:dyDescent="0.25">
      <c r="C513" s="2" t="s">
        <v>17</v>
      </c>
      <c r="H513" s="16">
        <v>6.276318249809977E-2</v>
      </c>
      <c r="J513" s="18">
        <v>135250</v>
      </c>
    </row>
    <row r="514" spans="2:10" ht="15.95" customHeight="1" x14ac:dyDescent="0.25">
      <c r="C514" s="2" t="s">
        <v>18</v>
      </c>
      <c r="H514" s="16">
        <v>0.147986535294965</v>
      </c>
      <c r="J514" s="18">
        <v>318900</v>
      </c>
    </row>
    <row r="515" spans="2:10" ht="15.95" customHeight="1" x14ac:dyDescent="0.25">
      <c r="C515" s="2" t="s">
        <v>122</v>
      </c>
      <c r="H515" s="16">
        <v>7.4480523408096203E-2</v>
      </c>
      <c r="J515" s="18">
        <v>160500</v>
      </c>
    </row>
    <row r="516" spans="2:10" ht="15.95" customHeight="1" x14ac:dyDescent="0.25">
      <c r="C516" s="2" t="s">
        <v>123</v>
      </c>
      <c r="H516" s="16">
        <v>2.8864103152545697E-2</v>
      </c>
      <c r="J516" s="18">
        <v>62200</v>
      </c>
    </row>
    <row r="517" spans="2:10" ht="15.95" customHeight="1" x14ac:dyDescent="0.25">
      <c r="C517" s="2" t="s">
        <v>21</v>
      </c>
      <c r="H517" s="16">
        <v>0.1872454280072699</v>
      </c>
      <c r="J517" s="18">
        <v>403500</v>
      </c>
    </row>
    <row r="518" spans="2:10" ht="15.95" customHeight="1" x14ac:dyDescent="0.25">
      <c r="C518" s="2" t="s">
        <v>22</v>
      </c>
      <c r="H518" s="16">
        <v>6.1858278942674295E-2</v>
      </c>
      <c r="J518" s="18">
        <v>133300</v>
      </c>
    </row>
    <row r="519" spans="2:10" ht="15.95" customHeight="1" x14ac:dyDescent="0.25">
      <c r="C519" s="2" t="s">
        <v>23</v>
      </c>
      <c r="H519" s="16">
        <v>0.17618972473381425</v>
      </c>
      <c r="J519" s="18">
        <v>379675.78</v>
      </c>
    </row>
    <row r="520" spans="2:10" ht="15.95" customHeight="1" x14ac:dyDescent="0.25">
      <c r="H520" s="16">
        <v>0.99999999999999978</v>
      </c>
      <c r="J520" s="18">
        <v>2154925.7800000003</v>
      </c>
    </row>
    <row r="522" spans="2:10" ht="15.95" customHeight="1" x14ac:dyDescent="0.25">
      <c r="B522" s="4">
        <v>1.2</v>
      </c>
      <c r="C522" s="2" t="s">
        <v>11</v>
      </c>
    </row>
    <row r="523" spans="2:10" ht="15.95" customHeight="1" x14ac:dyDescent="0.25">
      <c r="C523" s="2" t="s">
        <v>113</v>
      </c>
      <c r="E523" s="2" t="s">
        <v>25</v>
      </c>
      <c r="H523" s="16">
        <v>0.14358673799518104</v>
      </c>
      <c r="J523" s="18">
        <v>207262</v>
      </c>
    </row>
    <row r="524" spans="2:10" ht="15.95" customHeight="1" x14ac:dyDescent="0.25">
      <c r="C524" s="2" t="s">
        <v>82</v>
      </c>
      <c r="H524" s="16">
        <v>0.85641326200481893</v>
      </c>
      <c r="J524" s="18">
        <v>1236200</v>
      </c>
    </row>
    <row r="525" spans="2:10" ht="15.95" customHeight="1" x14ac:dyDescent="0.25">
      <c r="H525" s="16">
        <v>1</v>
      </c>
      <c r="J525" s="18">
        <v>1443462</v>
      </c>
    </row>
    <row r="527" spans="2:10" ht="15.95" customHeight="1" x14ac:dyDescent="0.25">
      <c r="B527" s="4">
        <v>2</v>
      </c>
      <c r="C527" s="2" t="s">
        <v>26</v>
      </c>
    </row>
    <row r="529" spans="2:10" ht="15.95" customHeight="1" x14ac:dyDescent="0.25">
      <c r="C529" s="2" t="s">
        <v>27</v>
      </c>
      <c r="H529" s="16">
        <v>0.81334558085479236</v>
      </c>
      <c r="J529" s="18">
        <v>2433234.4000000008</v>
      </c>
    </row>
    <row r="530" spans="2:10" ht="15.95" customHeight="1" x14ac:dyDescent="0.25">
      <c r="C530" s="2" t="s">
        <v>28</v>
      </c>
      <c r="H530" s="16">
        <v>3.6457135323378288E-3</v>
      </c>
      <c r="J530" s="18">
        <v>10906.65</v>
      </c>
    </row>
    <row r="531" spans="2:10" ht="15.95" customHeight="1" x14ac:dyDescent="0.25">
      <c r="C531" s="2" t="s">
        <v>29</v>
      </c>
      <c r="G531" s="5">
        <v>2.1</v>
      </c>
      <c r="H531" s="16">
        <v>0.16944638319188357</v>
      </c>
      <c r="J531" s="18">
        <v>506922</v>
      </c>
    </row>
    <row r="532" spans="2:10" ht="15.95" customHeight="1" x14ac:dyDescent="0.25">
      <c r="C532" s="2" t="s">
        <v>30</v>
      </c>
      <c r="H532" s="16">
        <v>0</v>
      </c>
      <c r="J532" s="18">
        <v>0</v>
      </c>
    </row>
    <row r="533" spans="2:10" ht="15.95" customHeight="1" x14ac:dyDescent="0.25">
      <c r="C533" s="2" t="s">
        <v>31</v>
      </c>
      <c r="H533" s="16">
        <v>1.0219670431293928E-2</v>
      </c>
      <c r="J533" s="18">
        <v>30573.54</v>
      </c>
    </row>
    <row r="534" spans="2:10" ht="15.95" customHeight="1" x14ac:dyDescent="0.25">
      <c r="C534" s="2" t="s">
        <v>114</v>
      </c>
      <c r="H534" s="16">
        <v>3.34265198969237E-3</v>
      </c>
      <c r="J534" s="18">
        <v>10000</v>
      </c>
    </row>
    <row r="535" spans="2:10" ht="15.95" customHeight="1" x14ac:dyDescent="0.25">
      <c r="H535" s="16">
        <v>1</v>
      </c>
      <c r="J535" s="18">
        <v>2991636.5900000008</v>
      </c>
    </row>
    <row r="537" spans="2:10" ht="15.95" customHeight="1" x14ac:dyDescent="0.25">
      <c r="B537" s="4">
        <v>2.1</v>
      </c>
      <c r="C537" s="2" t="s">
        <v>32</v>
      </c>
    </row>
    <row r="538" spans="2:10" ht="15.95" customHeight="1" x14ac:dyDescent="0.25">
      <c r="B538" s="4">
        <v>0</v>
      </c>
      <c r="C538" s="2" t="s">
        <v>33</v>
      </c>
    </row>
    <row r="540" spans="2:10" ht="15.95" customHeight="1" x14ac:dyDescent="0.25">
      <c r="C540" s="2" t="s">
        <v>9</v>
      </c>
      <c r="H540" s="16">
        <v>0.23314531332938787</v>
      </c>
      <c r="J540" s="18">
        <v>152851</v>
      </c>
    </row>
    <row r="541" spans="2:10" ht="15.95" customHeight="1" x14ac:dyDescent="0.25">
      <c r="C541" s="2" t="s">
        <v>10</v>
      </c>
      <c r="G541" s="5" t="e">
        <v>#REF!</v>
      </c>
      <c r="H541" s="16">
        <v>0.52203921879671267</v>
      </c>
      <c r="J541" s="18">
        <v>342251</v>
      </c>
    </row>
    <row r="542" spans="2:10" ht="15.95" customHeight="1" x14ac:dyDescent="0.25">
      <c r="C542" s="2" t="s">
        <v>12</v>
      </c>
      <c r="H542" s="16">
        <v>0.24481546787389949</v>
      </c>
      <c r="J542" s="18">
        <v>160502</v>
      </c>
    </row>
    <row r="543" spans="2:10" ht="15.95" customHeight="1" x14ac:dyDescent="0.25">
      <c r="H543" s="16">
        <v>1</v>
      </c>
      <c r="J543" s="18">
        <v>655604</v>
      </c>
    </row>
    <row r="545" spans="2:10" ht="15.95" customHeight="1" x14ac:dyDescent="0.25">
      <c r="C545" s="2" t="s">
        <v>34</v>
      </c>
      <c r="H545" s="16">
        <v>4.9317251963812973E-2</v>
      </c>
      <c r="J545" s="18">
        <v>25000</v>
      </c>
    </row>
    <row r="546" spans="2:10" ht="15.95" customHeight="1" x14ac:dyDescent="0.25">
      <c r="C546" s="2" t="s">
        <v>35</v>
      </c>
      <c r="H546" s="16">
        <v>0.2202853693467634</v>
      </c>
      <c r="J546" s="18">
        <v>111667.5</v>
      </c>
    </row>
    <row r="547" spans="2:10" ht="15.95" customHeight="1" x14ac:dyDescent="0.25">
      <c r="C547" s="2" t="s">
        <v>36</v>
      </c>
      <c r="D547" s="2" t="s">
        <v>25</v>
      </c>
      <c r="H547" s="16">
        <v>7.8813900363369507E-2</v>
      </c>
      <c r="J547" s="18">
        <v>39952.5</v>
      </c>
    </row>
    <row r="548" spans="2:10" ht="15.95" customHeight="1" x14ac:dyDescent="0.25">
      <c r="C548" s="2" t="s">
        <v>37</v>
      </c>
      <c r="H548" s="16">
        <v>1.9608539380812039E-2</v>
      </c>
      <c r="J548" s="18">
        <v>9940</v>
      </c>
    </row>
    <row r="549" spans="2:10" ht="15.95" customHeight="1" x14ac:dyDescent="0.25">
      <c r="C549" s="2" t="s">
        <v>38</v>
      </c>
      <c r="H549" s="16">
        <v>9.3382216593479866E-2</v>
      </c>
      <c r="J549" s="18">
        <v>47337.5</v>
      </c>
    </row>
    <row r="550" spans="2:10" ht="15.95" customHeight="1" x14ac:dyDescent="0.25">
      <c r="C550" s="2" t="s">
        <v>42</v>
      </c>
      <c r="H550" s="16">
        <v>0.18872725981511948</v>
      </c>
      <c r="J550" s="18">
        <v>95670</v>
      </c>
    </row>
    <row r="551" spans="2:10" ht="15.95" customHeight="1" x14ac:dyDescent="0.25">
      <c r="C551" s="2" t="s">
        <v>124</v>
      </c>
      <c r="H551" s="16">
        <v>2.4540264577193334E-2</v>
      </c>
      <c r="J551" s="18">
        <v>12440</v>
      </c>
    </row>
    <row r="552" spans="2:10" ht="15.95" customHeight="1" x14ac:dyDescent="0.25">
      <c r="C552" s="2" t="s">
        <v>43</v>
      </c>
      <c r="H552" s="16">
        <v>0.18724675591116582</v>
      </c>
      <c r="J552" s="18">
        <v>94919.5</v>
      </c>
    </row>
    <row r="553" spans="2:10" ht="15.95" customHeight="1" x14ac:dyDescent="0.25">
      <c r="C553" s="2" t="s">
        <v>125</v>
      </c>
      <c r="H553" s="16">
        <v>8.5486524554073406E-2</v>
      </c>
      <c r="J553" s="18">
        <v>43335</v>
      </c>
    </row>
    <row r="554" spans="2:10" ht="15.95" customHeight="1" x14ac:dyDescent="0.25">
      <c r="C554" s="2" t="s">
        <v>116</v>
      </c>
      <c r="H554" s="16">
        <v>5.2591917494210154E-2</v>
      </c>
      <c r="J554" s="18">
        <v>26660</v>
      </c>
    </row>
    <row r="555" spans="2:10" ht="15.95" customHeight="1" x14ac:dyDescent="0.25">
      <c r="H555" s="16">
        <v>0.99999999999999989</v>
      </c>
      <c r="J555" s="18">
        <v>506922</v>
      </c>
    </row>
    <row r="556" spans="2:10" ht="15.95" customHeight="1" x14ac:dyDescent="0.25">
      <c r="B556" s="4">
        <v>3</v>
      </c>
      <c r="C556" s="2" t="s">
        <v>44</v>
      </c>
    </row>
    <row r="557" spans="2:10" ht="15.95" customHeight="1" x14ac:dyDescent="0.25">
      <c r="C557" s="2" t="s">
        <v>45</v>
      </c>
      <c r="H557" s="16">
        <v>0.21906221424073244</v>
      </c>
      <c r="J557" s="18">
        <v>226000</v>
      </c>
    </row>
    <row r="558" spans="2:10" ht="15.95" customHeight="1" x14ac:dyDescent="0.25">
      <c r="D558" s="2" t="s">
        <v>46</v>
      </c>
      <c r="F558" s="18">
        <v>50000</v>
      </c>
      <c r="H558" s="16" t="s">
        <v>47</v>
      </c>
      <c r="J558" s="18" t="s">
        <v>47</v>
      </c>
    </row>
    <row r="559" spans="2:10" ht="15.95" customHeight="1" x14ac:dyDescent="0.25">
      <c r="D559" s="2" t="s">
        <v>48</v>
      </c>
      <c r="F559" s="18">
        <v>20000</v>
      </c>
      <c r="H559" s="16" t="s">
        <v>47</v>
      </c>
      <c r="J559" s="18" t="s">
        <v>47</v>
      </c>
    </row>
    <row r="560" spans="2:10" ht="15.95" customHeight="1" x14ac:dyDescent="0.25">
      <c r="D560" s="2" t="s">
        <v>49</v>
      </c>
      <c r="F560" s="18">
        <v>75000</v>
      </c>
      <c r="H560" s="16" t="s">
        <v>47</v>
      </c>
      <c r="J560" s="18" t="s">
        <v>47</v>
      </c>
    </row>
    <row r="561" spans="3:10" ht="15.95" customHeight="1" x14ac:dyDescent="0.25">
      <c r="D561" s="2" t="s">
        <v>50</v>
      </c>
      <c r="F561" s="18">
        <v>35000</v>
      </c>
      <c r="H561" s="16" t="s">
        <v>47</v>
      </c>
      <c r="J561" s="18" t="s">
        <v>47</v>
      </c>
    </row>
    <row r="562" spans="3:10" ht="15.95" customHeight="1" x14ac:dyDescent="0.25">
      <c r="D562" s="2" t="s">
        <v>94</v>
      </c>
      <c r="F562" s="18">
        <v>35000</v>
      </c>
      <c r="H562" s="16" t="s">
        <v>47</v>
      </c>
      <c r="J562" s="18" t="s">
        <v>47</v>
      </c>
    </row>
    <row r="563" spans="3:10" ht="15.95" customHeight="1" x14ac:dyDescent="0.25">
      <c r="D563" s="2" t="s">
        <v>52</v>
      </c>
      <c r="F563" s="18">
        <v>11000</v>
      </c>
      <c r="H563" s="16" t="s">
        <v>47</v>
      </c>
      <c r="J563" s="18" t="s">
        <v>47</v>
      </c>
    </row>
    <row r="564" spans="3:10" ht="15.95" customHeight="1" x14ac:dyDescent="0.25">
      <c r="C564" s="2" t="s">
        <v>53</v>
      </c>
      <c r="H564" s="16">
        <v>2.9079054987707846E-2</v>
      </c>
      <c r="J564" s="18">
        <v>30000</v>
      </c>
    </row>
    <row r="565" spans="3:10" ht="15.95" customHeight="1" x14ac:dyDescent="0.25">
      <c r="D565" s="2" t="s">
        <v>95</v>
      </c>
      <c r="F565" s="18">
        <v>30000</v>
      </c>
    </row>
    <row r="566" spans="3:10" ht="15.95" customHeight="1" x14ac:dyDescent="0.25">
      <c r="C566" s="2" t="s">
        <v>54</v>
      </c>
      <c r="H566" s="16">
        <v>2.6961130482769793E-2</v>
      </c>
      <c r="J566" s="18">
        <v>27815</v>
      </c>
    </row>
    <row r="567" spans="3:10" ht="15.95" customHeight="1" x14ac:dyDescent="0.25">
      <c r="C567" s="2" t="s">
        <v>57</v>
      </c>
      <c r="H567" s="16">
        <v>9.5146667919780072E-3</v>
      </c>
      <c r="J567" s="18">
        <v>9816</v>
      </c>
    </row>
    <row r="568" spans="3:10" ht="15.95" customHeight="1" x14ac:dyDescent="0.25">
      <c r="C568" s="2" t="s">
        <v>58</v>
      </c>
      <c r="H568" s="16">
        <v>0.2090336042309017</v>
      </c>
      <c r="J568" s="18">
        <v>215653.78</v>
      </c>
    </row>
    <row r="569" spans="3:10" ht="15.95" customHeight="1" x14ac:dyDescent="0.25">
      <c r="D569" s="2" t="s">
        <v>97</v>
      </c>
      <c r="F569" s="18">
        <v>30132.35</v>
      </c>
      <c r="J569" s="18">
        <v>0</v>
      </c>
    </row>
    <row r="570" spans="3:10" ht="15.95" customHeight="1" x14ac:dyDescent="0.25">
      <c r="D570" s="2" t="s">
        <v>98</v>
      </c>
      <c r="F570" s="18">
        <v>120521.43</v>
      </c>
      <c r="J570" s="18">
        <v>0</v>
      </c>
    </row>
    <row r="571" spans="3:10" ht="15.95" customHeight="1" x14ac:dyDescent="0.25">
      <c r="D571" s="2" t="s">
        <v>126</v>
      </c>
      <c r="F571" s="18">
        <v>40000</v>
      </c>
      <c r="J571" s="18">
        <v>0</v>
      </c>
    </row>
    <row r="572" spans="3:10" ht="15.95" customHeight="1" x14ac:dyDescent="0.25">
      <c r="D572" s="2" t="s">
        <v>127</v>
      </c>
      <c r="F572" s="18">
        <v>25000</v>
      </c>
      <c r="J572" s="18">
        <v>0</v>
      </c>
    </row>
    <row r="573" spans="3:10" ht="15.95" customHeight="1" x14ac:dyDescent="0.25">
      <c r="C573" s="2" t="s">
        <v>128</v>
      </c>
      <c r="H573" s="16">
        <v>3.2762401952817509E-2</v>
      </c>
      <c r="J573" s="18">
        <v>33800</v>
      </c>
    </row>
    <row r="574" spans="3:10" ht="15.95" customHeight="1" x14ac:dyDescent="0.25">
      <c r="C574" s="2" t="s">
        <v>61</v>
      </c>
      <c r="H574" s="16">
        <v>2.619868735401042E-2</v>
      </c>
      <c r="J574" s="18">
        <v>27028.41</v>
      </c>
    </row>
    <row r="575" spans="3:10" ht="15.95" customHeight="1" x14ac:dyDescent="0.25">
      <c r="C575" s="2" t="s">
        <v>62</v>
      </c>
      <c r="H575" s="16">
        <v>2.4232545823089872E-3</v>
      </c>
      <c r="J575" s="18">
        <v>2500</v>
      </c>
    </row>
    <row r="576" spans="3:10" ht="15.95" customHeight="1" x14ac:dyDescent="0.25">
      <c r="C576" s="2" t="s">
        <v>63</v>
      </c>
      <c r="H576" s="16">
        <v>0.30533007737093237</v>
      </c>
      <c r="J576" s="18">
        <v>315000</v>
      </c>
    </row>
    <row r="577" spans="2:10" ht="15.95" customHeight="1" x14ac:dyDescent="0.25">
      <c r="D577" s="2" t="s">
        <v>64</v>
      </c>
      <c r="F577" s="18">
        <v>65000</v>
      </c>
    </row>
    <row r="578" spans="2:10" ht="15.95" customHeight="1" x14ac:dyDescent="0.25">
      <c r="D578" s="2" t="s">
        <v>65</v>
      </c>
      <c r="F578" s="18">
        <v>250000</v>
      </c>
    </row>
    <row r="579" spans="2:10" ht="15.95" customHeight="1" x14ac:dyDescent="0.25">
      <c r="C579" s="2" t="s">
        <v>66</v>
      </c>
      <c r="H579" s="16">
        <v>6.3944841917969557E-3</v>
      </c>
      <c r="J579" s="18">
        <v>6597</v>
      </c>
    </row>
    <row r="580" spans="2:10" ht="15.95" customHeight="1" x14ac:dyDescent="0.25">
      <c r="C580" s="2" t="s">
        <v>67</v>
      </c>
      <c r="H580" s="16">
        <v>6.3101549323326029E-4</v>
      </c>
      <c r="J580" s="18">
        <v>651</v>
      </c>
    </row>
    <row r="581" spans="2:10" ht="15.95" customHeight="1" x14ac:dyDescent="0.25">
      <c r="C581" s="2" t="s">
        <v>102</v>
      </c>
      <c r="H581" s="16">
        <v>3.392556415232582E-3</v>
      </c>
      <c r="J581" s="18">
        <v>3500</v>
      </c>
    </row>
    <row r="582" spans="2:10" ht="15.95" customHeight="1" x14ac:dyDescent="0.25">
      <c r="C582" s="2" t="s">
        <v>129</v>
      </c>
      <c r="H582" s="16">
        <v>2.8670009614214089E-2</v>
      </c>
      <c r="J582" s="18">
        <v>29578</v>
      </c>
    </row>
    <row r="583" spans="2:10" ht="15.95" customHeight="1" x14ac:dyDescent="0.25">
      <c r="C583" s="2" t="s">
        <v>130</v>
      </c>
      <c r="H583" s="16">
        <v>0.100546842291364</v>
      </c>
      <c r="J583" s="18">
        <v>103731.2</v>
      </c>
    </row>
    <row r="584" spans="2:10" ht="15.95" customHeight="1" x14ac:dyDescent="0.25">
      <c r="H584" s="16">
        <v>1</v>
      </c>
      <c r="J584" s="18">
        <v>1031670.39</v>
      </c>
    </row>
    <row r="585" spans="2:10" ht="15.95" customHeight="1" x14ac:dyDescent="0.25">
      <c r="B585" s="4">
        <v>4</v>
      </c>
      <c r="C585" s="2" t="s">
        <v>70</v>
      </c>
    </row>
    <row r="586" spans="2:10" ht="15.95" customHeight="1" x14ac:dyDescent="0.25">
      <c r="C586" s="2" t="s">
        <v>71</v>
      </c>
      <c r="H586" s="16" t="s">
        <v>47</v>
      </c>
      <c r="J586" s="18">
        <v>1181405</v>
      </c>
    </row>
    <row r="587" spans="2:10" ht="15.95" customHeight="1" x14ac:dyDescent="0.25">
      <c r="D587" s="2" t="s">
        <v>73</v>
      </c>
      <c r="F587" s="18">
        <v>1151405</v>
      </c>
      <c r="H587" s="16">
        <v>0.97460650665944359</v>
      </c>
    </row>
    <row r="588" spans="2:10" ht="15.95" customHeight="1" x14ac:dyDescent="0.25">
      <c r="D588" s="2" t="s">
        <v>72</v>
      </c>
      <c r="F588" s="18">
        <v>30000</v>
      </c>
      <c r="H588" s="16">
        <v>2.5393493340556371E-2</v>
      </c>
      <c r="J588" s="18" t="s">
        <v>47</v>
      </c>
    </row>
    <row r="589" spans="2:10" ht="15.95" customHeight="1" x14ac:dyDescent="0.25">
      <c r="D589" s="2" t="s">
        <v>74</v>
      </c>
      <c r="F589" s="18">
        <v>0</v>
      </c>
      <c r="H589" s="16">
        <v>0</v>
      </c>
    </row>
    <row r="590" spans="2:10" ht="15.95" customHeight="1" x14ac:dyDescent="0.25">
      <c r="H590" s="16">
        <v>1</v>
      </c>
      <c r="J590" s="18">
        <v>1181405</v>
      </c>
    </row>
    <row r="592" spans="2:10" ht="15.95" customHeight="1" x14ac:dyDescent="0.25">
      <c r="B592" s="4">
        <v>4.0999999999999996</v>
      </c>
      <c r="C592" s="2" t="s">
        <v>75</v>
      </c>
    </row>
    <row r="593" spans="2:10" ht="15.95" customHeight="1" x14ac:dyDescent="0.25">
      <c r="C593" s="2" t="s">
        <v>76</v>
      </c>
      <c r="H593" s="16">
        <v>4.090706980880391E-2</v>
      </c>
      <c r="J593" s="18">
        <v>92000</v>
      </c>
    </row>
    <row r="594" spans="2:10" ht="15.95" customHeight="1" x14ac:dyDescent="0.25">
      <c r="D594" s="2" t="s">
        <v>72</v>
      </c>
      <c r="F594" s="18">
        <v>0</v>
      </c>
      <c r="H594" s="16" t="s">
        <v>47</v>
      </c>
      <c r="J594" s="18" t="s">
        <v>47</v>
      </c>
    </row>
    <row r="595" spans="2:10" ht="15.95" customHeight="1" x14ac:dyDescent="0.25">
      <c r="C595" s="2" t="s">
        <v>77</v>
      </c>
      <c r="H595" s="16">
        <v>0.95909293019119612</v>
      </c>
      <c r="J595" s="18">
        <v>2157000</v>
      </c>
    </row>
    <row r="596" spans="2:10" ht="15.95" customHeight="1" x14ac:dyDescent="0.25">
      <c r="H596" s="16">
        <v>1</v>
      </c>
      <c r="J596" s="18">
        <v>2249000</v>
      </c>
    </row>
    <row r="598" spans="2:10" ht="15.95" customHeight="1" x14ac:dyDescent="0.25">
      <c r="B598" s="4">
        <v>5</v>
      </c>
      <c r="C598" s="2" t="s">
        <v>78</v>
      </c>
    </row>
    <row r="599" spans="2:10" ht="15.95" customHeight="1" x14ac:dyDescent="0.25">
      <c r="C599" s="2" t="s">
        <v>79</v>
      </c>
      <c r="H599" s="16" t="s">
        <v>47</v>
      </c>
      <c r="J599" s="18">
        <v>5494341.5199999996</v>
      </c>
    </row>
    <row r="600" spans="2:10" ht="15.95" customHeight="1" x14ac:dyDescent="0.25">
      <c r="D600" s="2" t="s">
        <v>80</v>
      </c>
      <c r="F600" s="18">
        <v>982134</v>
      </c>
      <c r="H600" s="16">
        <v>0.17875372261169525</v>
      </c>
      <c r="J600" s="18" t="s">
        <v>47</v>
      </c>
    </row>
    <row r="601" spans="2:10" ht="15.95" customHeight="1" x14ac:dyDescent="0.25">
      <c r="D601" s="2" t="s">
        <v>81</v>
      </c>
      <c r="F601" s="18">
        <v>1267260.8500000001</v>
      </c>
      <c r="H601" s="16">
        <v>0.23064835802198189</v>
      </c>
      <c r="J601" s="18" t="s">
        <v>47</v>
      </c>
    </row>
    <row r="602" spans="2:10" ht="15.95" customHeight="1" x14ac:dyDescent="0.25">
      <c r="D602" s="2" t="s">
        <v>82</v>
      </c>
      <c r="F602" s="18">
        <v>669460</v>
      </c>
      <c r="H602" s="16">
        <v>0.12184535627483165</v>
      </c>
      <c r="J602" s="18" t="s">
        <v>47</v>
      </c>
    </row>
    <row r="603" spans="2:10" ht="15.95" customHeight="1" x14ac:dyDescent="0.25">
      <c r="D603" s="2" t="s">
        <v>84</v>
      </c>
      <c r="F603" s="18">
        <v>257520</v>
      </c>
      <c r="H603" s="16">
        <v>4.6870038759439916E-2</v>
      </c>
      <c r="J603" s="18" t="s">
        <v>47</v>
      </c>
    </row>
    <row r="604" spans="2:10" ht="15.95" customHeight="1" x14ac:dyDescent="0.25">
      <c r="D604" s="2" t="s">
        <v>85</v>
      </c>
      <c r="F604" s="18">
        <v>0</v>
      </c>
      <c r="H604" s="16">
        <v>0</v>
      </c>
    </row>
    <row r="605" spans="2:10" ht="15.95" customHeight="1" x14ac:dyDescent="0.25">
      <c r="D605" s="2" t="s">
        <v>86</v>
      </c>
      <c r="F605" s="18">
        <v>800437.67</v>
      </c>
      <c r="H605" s="16">
        <v>0.1456840036401669</v>
      </c>
      <c r="J605" s="18" t="s">
        <v>47</v>
      </c>
    </row>
    <row r="606" spans="2:10" ht="15.95" customHeight="1" x14ac:dyDescent="0.25">
      <c r="D606" s="2" t="s">
        <v>87</v>
      </c>
      <c r="F606" s="18">
        <v>663765</v>
      </c>
      <c r="H606" s="16">
        <v>0.12080883534156429</v>
      </c>
      <c r="J606" s="18" t="s">
        <v>47</v>
      </c>
    </row>
    <row r="607" spans="2:10" ht="15.95" customHeight="1" x14ac:dyDescent="0.25">
      <c r="D607" s="2" t="s">
        <v>88</v>
      </c>
      <c r="F607" s="18">
        <v>106640</v>
      </c>
      <c r="H607" s="16">
        <v>1.940905923154191E-2</v>
      </c>
      <c r="J607" s="18">
        <v>0</v>
      </c>
    </row>
    <row r="608" spans="2:10" ht="15.95" customHeight="1" x14ac:dyDescent="0.25">
      <c r="D608" s="2" t="s">
        <v>131</v>
      </c>
      <c r="F608" s="18">
        <v>117165</v>
      </c>
      <c r="H608" s="16">
        <v>2.1324666399696247E-2</v>
      </c>
    </row>
    <row r="609" spans="2:10" ht="15.95" customHeight="1" x14ac:dyDescent="0.25">
      <c r="D609" s="2" t="s">
        <v>11</v>
      </c>
      <c r="F609" s="18">
        <v>152792</v>
      </c>
      <c r="H609" s="16">
        <v>2.7808973913219726E-2</v>
      </c>
      <c r="J609" s="18">
        <v>0</v>
      </c>
    </row>
    <row r="610" spans="2:10" ht="15.95" customHeight="1" x14ac:dyDescent="0.25">
      <c r="D610" s="2" t="s">
        <v>132</v>
      </c>
      <c r="F610" s="18">
        <v>49760</v>
      </c>
      <c r="H610" s="16">
        <v>9.0565902790840716E-3</v>
      </c>
    </row>
    <row r="611" spans="2:10" ht="15.95" customHeight="1" x14ac:dyDescent="0.25">
      <c r="D611" s="2" t="s">
        <v>89</v>
      </c>
      <c r="F611" s="18">
        <v>427407</v>
      </c>
      <c r="H611" s="16">
        <v>7.7790395526778258E-2</v>
      </c>
      <c r="J611" s="18" t="s">
        <v>47</v>
      </c>
    </row>
    <row r="612" spans="2:10" ht="15.95" customHeight="1" x14ac:dyDescent="0.25">
      <c r="H612" s="16">
        <v>1</v>
      </c>
      <c r="J612" s="18">
        <v>5494341.5199999996</v>
      </c>
    </row>
    <row r="616" spans="2:10" ht="15.95" customHeight="1" x14ac:dyDescent="0.25">
      <c r="G616" s="5" t="s">
        <v>0</v>
      </c>
      <c r="H616" s="16" t="s">
        <v>1</v>
      </c>
      <c r="J616" s="18" t="s">
        <v>2</v>
      </c>
    </row>
    <row r="618" spans="2:10" ht="15.95" customHeight="1" x14ac:dyDescent="0.25">
      <c r="B618" s="4">
        <v>4</v>
      </c>
      <c r="C618" s="2" t="s">
        <v>3</v>
      </c>
    </row>
    <row r="620" spans="2:10" ht="15.95" customHeight="1" x14ac:dyDescent="0.25">
      <c r="C620" s="2" t="s">
        <v>4</v>
      </c>
      <c r="J620" s="18">
        <v>421154.98000000324</v>
      </c>
    </row>
    <row r="621" spans="2:10" ht="15.95" customHeight="1" x14ac:dyDescent="0.25">
      <c r="C621" s="2" t="s">
        <v>5</v>
      </c>
    </row>
    <row r="622" spans="2:10" ht="15.95" customHeight="1" x14ac:dyDescent="0.25">
      <c r="C622" s="2" t="s">
        <v>6</v>
      </c>
      <c r="J622" s="18">
        <v>-621473</v>
      </c>
    </row>
    <row r="624" spans="2:10" ht="15.95" customHeight="1" x14ac:dyDescent="0.25">
      <c r="J624" s="18">
        <v>-200318.01999999676</v>
      </c>
    </row>
    <row r="625" spans="2:10" ht="15.95" customHeight="1" x14ac:dyDescent="0.25">
      <c r="B625" s="4">
        <v>1</v>
      </c>
      <c r="C625" s="2" t="s">
        <v>7</v>
      </c>
    </row>
    <row r="626" spans="2:10" ht="15.95" customHeight="1" x14ac:dyDescent="0.25">
      <c r="B626" s="4" t="s">
        <v>8</v>
      </c>
      <c r="C626" s="2" t="s">
        <v>9</v>
      </c>
      <c r="H626" s="16">
        <v>0.22842190436178672</v>
      </c>
      <c r="J626" s="18">
        <v>841301.52</v>
      </c>
    </row>
    <row r="627" spans="2:10" ht="15.95" customHeight="1" x14ac:dyDescent="0.25">
      <c r="C627" s="2" t="s">
        <v>10</v>
      </c>
      <c r="G627" s="5">
        <v>1.1000000000000001</v>
      </c>
      <c r="H627" s="16">
        <v>0.67060346976074137</v>
      </c>
      <c r="J627" s="18">
        <v>2469902</v>
      </c>
    </row>
    <row r="628" spans="2:10" ht="15.95" customHeight="1" x14ac:dyDescent="0.25">
      <c r="C628" s="2" t="s">
        <v>12</v>
      </c>
      <c r="H628" s="16">
        <v>0.10097462587747194</v>
      </c>
      <c r="J628" s="18">
        <v>371900</v>
      </c>
    </row>
    <row r="629" spans="2:10" ht="15.95" customHeight="1" x14ac:dyDescent="0.25">
      <c r="C629" s="2" t="s">
        <v>12</v>
      </c>
      <c r="H629" s="16">
        <v>0</v>
      </c>
      <c r="J629" s="18">
        <v>0</v>
      </c>
    </row>
    <row r="630" spans="2:10" ht="15.95" customHeight="1" x14ac:dyDescent="0.25">
      <c r="H630" s="16">
        <v>1</v>
      </c>
      <c r="J630" s="18">
        <v>3683103.52</v>
      </c>
    </row>
    <row r="632" spans="2:10" ht="15.95" customHeight="1" x14ac:dyDescent="0.25">
      <c r="B632" s="4">
        <v>1.1000000000000001</v>
      </c>
      <c r="C632" s="2" t="s">
        <v>10</v>
      </c>
    </row>
    <row r="633" spans="2:10" ht="15.95" customHeight="1" x14ac:dyDescent="0.25">
      <c r="C633" s="2" t="s">
        <v>13</v>
      </c>
      <c r="H633" s="16">
        <v>3.8867938889883082E-2</v>
      </c>
      <c r="J633" s="18">
        <v>96000</v>
      </c>
    </row>
    <row r="634" spans="2:10" ht="15.95" customHeight="1" x14ac:dyDescent="0.25">
      <c r="C634" s="2" t="s">
        <v>14</v>
      </c>
      <c r="H634" s="16">
        <v>0.13676615509441264</v>
      </c>
      <c r="J634" s="18">
        <v>337799</v>
      </c>
    </row>
    <row r="635" spans="2:10" ht="15.95" customHeight="1" x14ac:dyDescent="0.25">
      <c r="C635" s="2" t="s">
        <v>15</v>
      </c>
      <c r="H635" s="16">
        <v>7.4517126590447721E-2</v>
      </c>
      <c r="J635" s="18">
        <v>184050</v>
      </c>
    </row>
    <row r="636" spans="2:10" ht="15.95" customHeight="1" x14ac:dyDescent="0.25">
      <c r="C636" s="2" t="s">
        <v>16</v>
      </c>
      <c r="H636" s="16">
        <v>2.6701464268622802E-2</v>
      </c>
      <c r="J636" s="18">
        <v>65950</v>
      </c>
    </row>
    <row r="637" spans="2:10" ht="15.95" customHeight="1" x14ac:dyDescent="0.25">
      <c r="C637" s="2" t="s">
        <v>17</v>
      </c>
      <c r="H637" s="16">
        <v>5.9739212325023425E-2</v>
      </c>
      <c r="J637" s="18">
        <v>147550</v>
      </c>
    </row>
    <row r="638" spans="2:10" ht="15.95" customHeight="1" x14ac:dyDescent="0.25">
      <c r="C638" s="2" t="s">
        <v>18</v>
      </c>
      <c r="H638" s="16">
        <v>0.13036954502648282</v>
      </c>
      <c r="J638" s="18">
        <v>322000</v>
      </c>
    </row>
    <row r="639" spans="2:10" ht="15.95" customHeight="1" x14ac:dyDescent="0.25">
      <c r="C639" s="2" t="s">
        <v>123</v>
      </c>
      <c r="H639" s="16">
        <v>2.2753939225119053E-2</v>
      </c>
      <c r="J639" s="18">
        <v>56200</v>
      </c>
    </row>
    <row r="640" spans="2:10" ht="15.95" customHeight="1" x14ac:dyDescent="0.25">
      <c r="C640" s="2" t="s">
        <v>21</v>
      </c>
      <c r="H640" s="16">
        <v>0.19438018188575903</v>
      </c>
      <c r="J640" s="18">
        <v>480100</v>
      </c>
    </row>
    <row r="641" spans="2:10" ht="15.95" customHeight="1" x14ac:dyDescent="0.25">
      <c r="C641" s="2" t="s">
        <v>22</v>
      </c>
      <c r="H641" s="16">
        <v>5.3969752646056406E-2</v>
      </c>
      <c r="J641" s="18">
        <v>133300</v>
      </c>
    </row>
    <row r="642" spans="2:10" ht="15.95" customHeight="1" x14ac:dyDescent="0.25">
      <c r="C642" s="2" t="s">
        <v>121</v>
      </c>
      <c r="H642" s="16">
        <v>6.5994521240113979E-3</v>
      </c>
      <c r="J642" s="18">
        <v>16300</v>
      </c>
    </row>
    <row r="643" spans="2:10" ht="15.95" customHeight="1" x14ac:dyDescent="0.25">
      <c r="C643" s="2" t="s">
        <v>23</v>
      </c>
      <c r="H643" s="16">
        <v>0.25533523192418162</v>
      </c>
      <c r="J643" s="18">
        <v>630653</v>
      </c>
    </row>
    <row r="644" spans="2:10" ht="15.95" customHeight="1" x14ac:dyDescent="0.25">
      <c r="H644" s="16">
        <v>0.99999999999999989</v>
      </c>
      <c r="J644" s="18">
        <v>2469902</v>
      </c>
    </row>
    <row r="645" spans="2:10" ht="15.95" customHeight="1" x14ac:dyDescent="0.25">
      <c r="B645" s="4">
        <v>2</v>
      </c>
      <c r="C645" s="2" t="s">
        <v>26</v>
      </c>
    </row>
    <row r="647" spans="2:10" ht="15.95" customHeight="1" x14ac:dyDescent="0.25">
      <c r="C647" s="2" t="s">
        <v>27</v>
      </c>
      <c r="H647" s="16">
        <v>0.66281034693832974</v>
      </c>
      <c r="J647" s="18">
        <v>1393750.2999999998</v>
      </c>
    </row>
    <row r="648" spans="2:10" ht="15.95" customHeight="1" x14ac:dyDescent="0.25">
      <c r="C648" s="2" t="s">
        <v>28</v>
      </c>
      <c r="H648" s="16">
        <v>5.6008139932290594E-3</v>
      </c>
      <c r="J648" s="18">
        <v>11777.33</v>
      </c>
    </row>
    <row r="649" spans="2:10" ht="15.95" customHeight="1" x14ac:dyDescent="0.25">
      <c r="C649" s="2" t="s">
        <v>29</v>
      </c>
      <c r="G649" s="5">
        <v>2.1</v>
      </c>
      <c r="H649" s="16">
        <v>0.2750757982616221</v>
      </c>
      <c r="J649" s="18">
        <v>578426.36</v>
      </c>
    </row>
    <row r="650" spans="2:10" ht="15.95" customHeight="1" x14ac:dyDescent="0.25">
      <c r="C650" s="2" t="s">
        <v>31</v>
      </c>
      <c r="H650" s="16">
        <v>1.2761622838818461E-2</v>
      </c>
      <c r="J650" s="18">
        <v>26835</v>
      </c>
    </row>
    <row r="651" spans="2:10" ht="15.95" customHeight="1" x14ac:dyDescent="0.25">
      <c r="C651" s="2" t="s">
        <v>114</v>
      </c>
      <c r="H651" s="16">
        <v>4.3751417968000687E-2</v>
      </c>
      <c r="J651" s="18">
        <v>92000</v>
      </c>
    </row>
    <row r="652" spans="2:10" ht="15.95" customHeight="1" x14ac:dyDescent="0.25">
      <c r="H652" s="16">
        <v>1</v>
      </c>
      <c r="J652" s="18">
        <v>2102788.9899999998</v>
      </c>
    </row>
    <row r="653" spans="2:10" ht="15.95" customHeight="1" x14ac:dyDescent="0.25">
      <c r="B653" s="4">
        <v>2.1</v>
      </c>
      <c r="C653" s="2" t="s">
        <v>32</v>
      </c>
    </row>
    <row r="654" spans="2:10" ht="15.95" customHeight="1" x14ac:dyDescent="0.25">
      <c r="C654" s="2" t="s">
        <v>34</v>
      </c>
      <c r="H654" s="16">
        <v>4.1491884982558541E-2</v>
      </c>
      <c r="J654" s="18">
        <v>24000</v>
      </c>
    </row>
    <row r="655" spans="2:10" ht="15.95" customHeight="1" x14ac:dyDescent="0.25">
      <c r="C655" s="2" t="s">
        <v>35</v>
      </c>
      <c r="H655" s="16">
        <v>0.20439766956678806</v>
      </c>
      <c r="J655" s="18">
        <v>118229</v>
      </c>
    </row>
    <row r="656" spans="2:10" ht="15.95" customHeight="1" x14ac:dyDescent="0.25">
      <c r="C656" s="2" t="s">
        <v>36</v>
      </c>
      <c r="D656" s="2" t="s">
        <v>25</v>
      </c>
      <c r="H656" s="16">
        <v>0.111367676950269</v>
      </c>
      <c r="J656" s="18">
        <v>64418</v>
      </c>
    </row>
    <row r="657" spans="2:10" ht="15.95" customHeight="1" x14ac:dyDescent="0.25">
      <c r="C657" s="2" t="s">
        <v>37</v>
      </c>
      <c r="H657" s="16">
        <v>3.9906549210516618E-2</v>
      </c>
      <c r="J657" s="18">
        <v>23083</v>
      </c>
    </row>
    <row r="658" spans="2:10" ht="15.95" customHeight="1" x14ac:dyDescent="0.25">
      <c r="C658" s="2" t="s">
        <v>38</v>
      </c>
      <c r="H658" s="16">
        <v>8.9281892339761276E-2</v>
      </c>
      <c r="J658" s="18">
        <v>51643</v>
      </c>
    </row>
    <row r="659" spans="2:10" ht="15.95" customHeight="1" x14ac:dyDescent="0.25">
      <c r="C659" s="2" t="s">
        <v>42</v>
      </c>
      <c r="H659" s="16">
        <v>0.16700483705479813</v>
      </c>
      <c r="J659" s="18">
        <v>96600</v>
      </c>
    </row>
    <row r="660" spans="2:10" ht="15.95" customHeight="1" x14ac:dyDescent="0.25">
      <c r="C660" s="2" t="s">
        <v>124</v>
      </c>
      <c r="H660" s="16">
        <v>1.9432032800164915E-2</v>
      </c>
      <c r="J660" s="18">
        <v>11240</v>
      </c>
    </row>
    <row r="661" spans="2:10" ht="15.95" customHeight="1" x14ac:dyDescent="0.25">
      <c r="C661" s="2" t="s">
        <v>43</v>
      </c>
      <c r="H661" s="16">
        <v>0.27257291662848837</v>
      </c>
      <c r="J661" s="18">
        <v>157663.35999999999</v>
      </c>
    </row>
    <row r="662" spans="2:10" ht="15.95" customHeight="1" x14ac:dyDescent="0.25">
      <c r="C662" s="2" t="s">
        <v>121</v>
      </c>
      <c r="H662" s="16">
        <v>8.4539715651963023E-3</v>
      </c>
      <c r="J662" s="18">
        <v>4890</v>
      </c>
    </row>
    <row r="663" spans="2:10" ht="15.95" customHeight="1" x14ac:dyDescent="0.25">
      <c r="C663" s="2" t="s">
        <v>116</v>
      </c>
      <c r="H663" s="16">
        <v>4.6090568901458781E-2</v>
      </c>
      <c r="J663" s="18">
        <v>26660</v>
      </c>
    </row>
    <row r="664" spans="2:10" ht="15.95" customHeight="1" x14ac:dyDescent="0.25">
      <c r="H664" s="16">
        <v>1</v>
      </c>
      <c r="J664" s="18">
        <v>578426.36</v>
      </c>
    </row>
    <row r="665" spans="2:10" ht="15.95" customHeight="1" x14ac:dyDescent="0.25">
      <c r="B665" s="4">
        <v>3</v>
      </c>
      <c r="C665" s="2" t="s">
        <v>44</v>
      </c>
    </row>
    <row r="666" spans="2:10" ht="15.95" customHeight="1" x14ac:dyDescent="0.25">
      <c r="C666" s="2" t="s">
        <v>45</v>
      </c>
      <c r="H666" s="16">
        <v>0.19113401160203225</v>
      </c>
      <c r="J666" s="18">
        <v>232000</v>
      </c>
    </row>
    <row r="667" spans="2:10" ht="15.95" customHeight="1" x14ac:dyDescent="0.25">
      <c r="D667" s="2" t="s">
        <v>46</v>
      </c>
      <c r="F667" s="18">
        <v>50000</v>
      </c>
      <c r="H667" s="16" t="s">
        <v>47</v>
      </c>
      <c r="J667" s="18" t="s">
        <v>47</v>
      </c>
    </row>
    <row r="668" spans="2:10" ht="15.95" customHeight="1" x14ac:dyDescent="0.25">
      <c r="D668" s="2" t="s">
        <v>48</v>
      </c>
      <c r="F668" s="18">
        <v>20000</v>
      </c>
      <c r="H668" s="16" t="s">
        <v>47</v>
      </c>
      <c r="J668" s="18" t="s">
        <v>47</v>
      </c>
    </row>
    <row r="669" spans="2:10" ht="15.95" customHeight="1" x14ac:dyDescent="0.25">
      <c r="D669" s="2" t="s">
        <v>49</v>
      </c>
      <c r="F669" s="18">
        <v>75000</v>
      </c>
      <c r="H669" s="16" t="s">
        <v>47</v>
      </c>
      <c r="J669" s="18" t="s">
        <v>47</v>
      </c>
    </row>
    <row r="670" spans="2:10" ht="15.95" customHeight="1" x14ac:dyDescent="0.25">
      <c r="D670" s="2" t="s">
        <v>50</v>
      </c>
      <c r="F670" s="18">
        <v>35000</v>
      </c>
      <c r="H670" s="16" t="s">
        <v>47</v>
      </c>
      <c r="J670" s="18" t="s">
        <v>47</v>
      </c>
    </row>
    <row r="671" spans="2:10" ht="15.95" customHeight="1" x14ac:dyDescent="0.25">
      <c r="D671" s="2" t="s">
        <v>94</v>
      </c>
      <c r="F671" s="18">
        <v>35000</v>
      </c>
      <c r="H671" s="16" t="s">
        <v>47</v>
      </c>
      <c r="J671" s="18" t="s">
        <v>47</v>
      </c>
    </row>
    <row r="672" spans="2:10" ht="15.95" customHeight="1" x14ac:dyDescent="0.25">
      <c r="D672" s="2" t="s">
        <v>133</v>
      </c>
      <c r="F672" s="18">
        <v>6000</v>
      </c>
    </row>
    <row r="673" spans="3:10" ht="15.95" customHeight="1" x14ac:dyDescent="0.25">
      <c r="D673" s="2" t="s">
        <v>52</v>
      </c>
      <c r="F673" s="18">
        <v>11000</v>
      </c>
    </row>
    <row r="674" spans="3:10" ht="15.95" customHeight="1" x14ac:dyDescent="0.25">
      <c r="H674" s="16" t="s">
        <v>47</v>
      </c>
      <c r="J674" s="18" t="s">
        <v>47</v>
      </c>
    </row>
    <row r="675" spans="3:10" ht="15.95" customHeight="1" x14ac:dyDescent="0.25">
      <c r="C675" s="2" t="s">
        <v>53</v>
      </c>
      <c r="H675" s="16">
        <v>2.4715604948538656E-2</v>
      </c>
      <c r="J675" s="18">
        <v>30000</v>
      </c>
    </row>
    <row r="676" spans="3:10" ht="15.95" customHeight="1" x14ac:dyDescent="0.25">
      <c r="D676" s="2" t="s">
        <v>95</v>
      </c>
      <c r="F676" s="18">
        <v>30000</v>
      </c>
    </row>
    <row r="677" spans="3:10" ht="15.95" customHeight="1" x14ac:dyDescent="0.25">
      <c r="C677" s="2" t="s">
        <v>54</v>
      </c>
      <c r="H677" s="16">
        <v>6.5908279862769746E-3</v>
      </c>
      <c r="J677" s="18">
        <v>8000</v>
      </c>
    </row>
    <row r="678" spans="3:10" ht="15.95" customHeight="1" x14ac:dyDescent="0.25">
      <c r="C678" s="2" t="s">
        <v>57</v>
      </c>
      <c r="H678" s="16">
        <v>7.9971459078488245E-3</v>
      </c>
      <c r="J678" s="18">
        <v>9707</v>
      </c>
    </row>
    <row r="679" spans="3:10" ht="15.95" customHeight="1" x14ac:dyDescent="0.25">
      <c r="C679" s="2" t="s">
        <v>58</v>
      </c>
      <c r="H679" s="16">
        <v>0.20030020562394696</v>
      </c>
      <c r="J679" s="18">
        <v>243126</v>
      </c>
    </row>
    <row r="680" spans="3:10" ht="15.95" customHeight="1" x14ac:dyDescent="0.25">
      <c r="D680" s="2" t="s">
        <v>97</v>
      </c>
      <c r="F680" s="18">
        <v>50180</v>
      </c>
      <c r="J680" s="18">
        <v>0</v>
      </c>
    </row>
    <row r="681" spans="3:10" ht="15.95" customHeight="1" x14ac:dyDescent="0.25">
      <c r="D681" s="2" t="s">
        <v>98</v>
      </c>
      <c r="F681" s="18">
        <v>125446</v>
      </c>
      <c r="J681" s="18">
        <v>0</v>
      </c>
    </row>
    <row r="682" spans="3:10" ht="15.95" customHeight="1" x14ac:dyDescent="0.25">
      <c r="D682" s="2" t="s">
        <v>134</v>
      </c>
      <c r="F682" s="18">
        <v>67500</v>
      </c>
    </row>
    <row r="683" spans="3:10" ht="15.95" customHeight="1" x14ac:dyDescent="0.25">
      <c r="C683" s="2" t="s">
        <v>135</v>
      </c>
      <c r="H683" s="16">
        <v>2.8996347725625548E-2</v>
      </c>
      <c r="J683" s="18">
        <v>35196</v>
      </c>
    </row>
    <row r="684" spans="3:10" ht="15.95" customHeight="1" x14ac:dyDescent="0.25">
      <c r="C684" s="2" t="s">
        <v>61</v>
      </c>
      <c r="H684" s="16">
        <v>1.8930991757148029E-2</v>
      </c>
      <c r="J684" s="18">
        <v>22978.59</v>
      </c>
    </row>
    <row r="685" spans="3:10" ht="15.95" customHeight="1" x14ac:dyDescent="0.25">
      <c r="C685" s="2" t="s">
        <v>62</v>
      </c>
      <c r="H685" s="16">
        <v>1.9772483958830924E-3</v>
      </c>
      <c r="J685" s="18">
        <v>2400</v>
      </c>
    </row>
    <row r="686" spans="3:10" ht="15.95" customHeight="1" x14ac:dyDescent="0.25">
      <c r="C686" s="2" t="s">
        <v>63</v>
      </c>
      <c r="H686" s="16">
        <v>0.25951385195965587</v>
      </c>
      <c r="J686" s="18">
        <v>315000</v>
      </c>
    </row>
    <row r="687" spans="3:10" ht="15.95" customHeight="1" x14ac:dyDescent="0.25">
      <c r="D687" s="2" t="s">
        <v>64</v>
      </c>
      <c r="F687" s="18">
        <v>65000</v>
      </c>
    </row>
    <row r="688" spans="3:10" ht="15.95" customHeight="1" x14ac:dyDescent="0.25">
      <c r="D688" s="2" t="s">
        <v>65</v>
      </c>
      <c r="F688" s="18">
        <v>250000</v>
      </c>
    </row>
    <row r="689" spans="2:10" ht="15.95" customHeight="1" x14ac:dyDescent="0.25">
      <c r="C689" s="2" t="s">
        <v>66</v>
      </c>
      <c r="H689" s="16">
        <v>5.4349615281836499E-3</v>
      </c>
      <c r="J689" s="18">
        <v>6597</v>
      </c>
    </row>
    <row r="690" spans="2:10" ht="15.95" customHeight="1" x14ac:dyDescent="0.25">
      <c r="C690" s="2" t="s">
        <v>67</v>
      </c>
      <c r="H690" s="16">
        <v>3.6331939274351823E-4</v>
      </c>
      <c r="J690" s="18">
        <v>441</v>
      </c>
    </row>
    <row r="691" spans="2:10" ht="15.95" customHeight="1" x14ac:dyDescent="0.25">
      <c r="C691" s="2" t="s">
        <v>102</v>
      </c>
      <c r="H691" s="16">
        <v>3.0482579436531005E-3</v>
      </c>
      <c r="J691" s="18">
        <v>3700</v>
      </c>
    </row>
    <row r="692" spans="2:10" ht="15.95" customHeight="1" x14ac:dyDescent="0.25">
      <c r="C692" s="2" t="s">
        <v>129</v>
      </c>
      <c r="H692" s="16">
        <v>0.16683033340263592</v>
      </c>
      <c r="J692" s="18">
        <v>202500</v>
      </c>
    </row>
    <row r="693" spans="2:10" ht="15.95" customHeight="1" x14ac:dyDescent="0.25">
      <c r="D693" s="2" t="s">
        <v>136</v>
      </c>
      <c r="F693" s="18">
        <v>160000</v>
      </c>
    </row>
    <row r="694" spans="2:10" ht="15.95" customHeight="1" x14ac:dyDescent="0.25">
      <c r="D694" s="2" t="s">
        <v>137</v>
      </c>
      <c r="F694" s="18">
        <v>42500</v>
      </c>
    </row>
    <row r="695" spans="2:10" ht="15.95" customHeight="1" x14ac:dyDescent="0.25">
      <c r="C695" s="2" t="s">
        <v>138</v>
      </c>
      <c r="H695" s="16">
        <v>1.4425674754963728E-2</v>
      </c>
      <c r="J695" s="18">
        <v>17510</v>
      </c>
    </row>
    <row r="696" spans="2:10" ht="15.95" customHeight="1" x14ac:dyDescent="0.25">
      <c r="C696" s="2" t="s">
        <v>139</v>
      </c>
      <c r="H696" s="16">
        <v>1.4131105936652061E-2</v>
      </c>
      <c r="J696" s="18">
        <v>17152.45</v>
      </c>
    </row>
    <row r="697" spans="2:10" ht="15.95" customHeight="1" x14ac:dyDescent="0.25">
      <c r="C697" s="2" t="s">
        <v>130</v>
      </c>
      <c r="H697" s="16">
        <v>5.5610111134211972E-2</v>
      </c>
      <c r="J697" s="18">
        <v>67500</v>
      </c>
    </row>
    <row r="698" spans="2:10" ht="15.95" customHeight="1" x14ac:dyDescent="0.25">
      <c r="H698" s="16">
        <v>1</v>
      </c>
      <c r="J698" s="18">
        <v>1213808.0399999998</v>
      </c>
    </row>
    <row r="701" spans="2:10" ht="15.95" customHeight="1" x14ac:dyDescent="0.25">
      <c r="B701" s="4">
        <v>4</v>
      </c>
      <c r="C701" s="2" t="s">
        <v>70</v>
      </c>
    </row>
    <row r="702" spans="2:10" ht="15.95" customHeight="1" x14ac:dyDescent="0.25">
      <c r="C702" s="2" t="s">
        <v>71</v>
      </c>
      <c r="J702" s="18">
        <v>1969930</v>
      </c>
    </row>
    <row r="703" spans="2:10" ht="15.95" customHeight="1" x14ac:dyDescent="0.25">
      <c r="D703" s="2" t="s">
        <v>73</v>
      </c>
      <c r="F703" s="18">
        <v>1939930</v>
      </c>
      <c r="H703" s="16">
        <v>0.98477103247323505</v>
      </c>
    </row>
    <row r="704" spans="2:10" ht="15.95" customHeight="1" x14ac:dyDescent="0.25">
      <c r="D704" s="2" t="s">
        <v>72</v>
      </c>
      <c r="F704" s="18">
        <v>30000</v>
      </c>
      <c r="H704" s="16">
        <v>1.5228967526764911E-2</v>
      </c>
      <c r="J704" s="18" t="s">
        <v>47</v>
      </c>
    </row>
    <row r="705" spans="2:10" ht="15.95" customHeight="1" x14ac:dyDescent="0.25">
      <c r="D705" s="2" t="s">
        <v>74</v>
      </c>
      <c r="F705" s="18">
        <v>0</v>
      </c>
      <c r="H705" s="16">
        <v>0</v>
      </c>
    </row>
    <row r="706" spans="2:10" ht="15.95" customHeight="1" x14ac:dyDescent="0.25">
      <c r="H706" s="16">
        <v>1</v>
      </c>
      <c r="J706" s="18">
        <v>1969930</v>
      </c>
    </row>
    <row r="708" spans="2:10" ht="15.95" customHeight="1" x14ac:dyDescent="0.25">
      <c r="B708" s="4">
        <v>4.0999999999999996</v>
      </c>
      <c r="C708" s="2" t="s">
        <v>75</v>
      </c>
    </row>
    <row r="709" spans="2:10" ht="15.95" customHeight="1" x14ac:dyDescent="0.25">
      <c r="C709" s="2" t="s">
        <v>76</v>
      </c>
      <c r="H709" s="16">
        <v>3.8341506910387874E-2</v>
      </c>
      <c r="J709" s="18">
        <v>86000</v>
      </c>
    </row>
    <row r="710" spans="2:10" ht="15.95" customHeight="1" x14ac:dyDescent="0.25">
      <c r="D710" s="2" t="s">
        <v>72</v>
      </c>
      <c r="F710" s="18">
        <v>0</v>
      </c>
      <c r="H710" s="16" t="s">
        <v>47</v>
      </c>
      <c r="J710" s="18" t="s">
        <v>47</v>
      </c>
    </row>
    <row r="711" spans="2:10" ht="15.95" customHeight="1" x14ac:dyDescent="0.25">
      <c r="C711" s="2" t="s">
        <v>77</v>
      </c>
      <c r="H711" s="16">
        <v>0.96165849308961215</v>
      </c>
      <c r="J711" s="18">
        <v>2157000</v>
      </c>
    </row>
    <row r="712" spans="2:10" ht="15.95" customHeight="1" x14ac:dyDescent="0.25">
      <c r="H712" s="16">
        <v>1</v>
      </c>
      <c r="J712" s="18">
        <v>2243000</v>
      </c>
    </row>
    <row r="714" spans="2:10" ht="15.95" customHeight="1" x14ac:dyDescent="0.25">
      <c r="B714" s="4">
        <v>5</v>
      </c>
      <c r="C714" s="2" t="s">
        <v>78</v>
      </c>
    </row>
    <row r="715" spans="2:10" ht="15.95" customHeight="1" x14ac:dyDescent="0.25">
      <c r="C715" s="2" t="s">
        <v>79</v>
      </c>
      <c r="H715" s="16" t="s">
        <v>47</v>
      </c>
      <c r="J715" s="18">
        <v>4882979</v>
      </c>
    </row>
    <row r="716" spans="2:10" ht="15.95" customHeight="1" x14ac:dyDescent="0.25">
      <c r="D716" s="2" t="s">
        <v>80</v>
      </c>
      <c r="F716" s="18">
        <v>1199758</v>
      </c>
      <c r="H716" s="16">
        <v>0.24570206015631033</v>
      </c>
      <c r="J716" s="18" t="s">
        <v>47</v>
      </c>
    </row>
    <row r="717" spans="2:10" ht="15.95" customHeight="1" x14ac:dyDescent="0.25">
      <c r="D717" s="2" t="s">
        <v>81</v>
      </c>
      <c r="F717" s="18">
        <v>1238215</v>
      </c>
      <c r="H717" s="16">
        <v>0.25357778520038687</v>
      </c>
      <c r="J717" s="18" t="s">
        <v>47</v>
      </c>
    </row>
    <row r="718" spans="2:10" ht="15.95" customHeight="1" x14ac:dyDescent="0.25">
      <c r="D718" s="2" t="s">
        <v>82</v>
      </c>
      <c r="F718" s="18">
        <v>400</v>
      </c>
      <c r="H718" s="16">
        <v>8.1917206688785684E-5</v>
      </c>
      <c r="J718" s="18" t="s">
        <v>47</v>
      </c>
    </row>
    <row r="719" spans="2:10" ht="15.95" customHeight="1" x14ac:dyDescent="0.25">
      <c r="D719" s="2" t="s">
        <v>84</v>
      </c>
      <c r="F719" s="18">
        <v>257020</v>
      </c>
      <c r="H719" s="16">
        <v>5.2635901157879236E-2</v>
      </c>
      <c r="J719" s="18" t="s">
        <v>47</v>
      </c>
    </row>
    <row r="720" spans="2:10" ht="15.95" customHeight="1" x14ac:dyDescent="0.25">
      <c r="D720" s="2" t="s">
        <v>85</v>
      </c>
      <c r="H720" s="16">
        <v>0</v>
      </c>
    </row>
    <row r="721" spans="2:10" ht="15.95" customHeight="1" x14ac:dyDescent="0.25">
      <c r="D721" s="2" t="s">
        <v>86</v>
      </c>
      <c r="F721" s="18">
        <v>665602</v>
      </c>
      <c r="H721" s="16">
        <v>0.13631064151617281</v>
      </c>
      <c r="J721" s="18" t="s">
        <v>47</v>
      </c>
    </row>
    <row r="722" spans="2:10" ht="15.95" customHeight="1" x14ac:dyDescent="0.25">
      <c r="D722" s="2" t="s">
        <v>87</v>
      </c>
      <c r="F722" s="18">
        <v>800742</v>
      </c>
      <c r="H722" s="16">
        <v>0.16398636979597905</v>
      </c>
      <c r="J722" s="18" t="s">
        <v>47</v>
      </c>
    </row>
    <row r="723" spans="2:10" ht="15.95" customHeight="1" x14ac:dyDescent="0.25">
      <c r="D723" s="2" t="s">
        <v>88</v>
      </c>
      <c r="F723" s="18">
        <v>106640</v>
      </c>
      <c r="H723" s="16">
        <v>2.183912730323026E-2</v>
      </c>
      <c r="J723" s="18">
        <v>0</v>
      </c>
    </row>
    <row r="724" spans="2:10" ht="15.95" customHeight="1" x14ac:dyDescent="0.25">
      <c r="D724" s="2" t="s">
        <v>131</v>
      </c>
      <c r="F724" s="18">
        <v>165</v>
      </c>
      <c r="H724" s="16">
        <v>3.3790847759124091E-5</v>
      </c>
    </row>
    <row r="725" spans="2:10" ht="15.95" customHeight="1" x14ac:dyDescent="0.25">
      <c r="D725" s="2" t="s">
        <v>11</v>
      </c>
      <c r="F725" s="18">
        <v>152752</v>
      </c>
      <c r="H725" s="16">
        <v>3.1282542890313472E-2</v>
      </c>
      <c r="J725" s="18">
        <v>0</v>
      </c>
    </row>
    <row r="726" spans="2:10" ht="15.95" customHeight="1" x14ac:dyDescent="0.25">
      <c r="D726" s="2" t="s">
        <v>132</v>
      </c>
      <c r="F726" s="18">
        <v>44960</v>
      </c>
      <c r="H726" s="16">
        <v>9.2074940318195107E-3</v>
      </c>
    </row>
    <row r="727" spans="2:10" ht="15.95" customHeight="1" x14ac:dyDescent="0.25">
      <c r="D727" s="2" t="s">
        <v>89</v>
      </c>
      <c r="F727" s="18">
        <v>416725</v>
      </c>
      <c r="H727" s="16">
        <v>8.5342369893460529E-2</v>
      </c>
      <c r="J727" s="18" t="s">
        <v>47</v>
      </c>
    </row>
    <row r="728" spans="2:10" ht="15.95" customHeight="1" x14ac:dyDescent="0.25">
      <c r="H728" s="16">
        <v>1</v>
      </c>
      <c r="J728" s="18">
        <v>4882979</v>
      </c>
    </row>
    <row r="732" spans="2:10" ht="34.5" customHeight="1" x14ac:dyDescent="0.25">
      <c r="G732" s="5" t="s">
        <v>0</v>
      </c>
      <c r="H732" s="16" t="s">
        <v>1</v>
      </c>
      <c r="J732" s="72" t="s">
        <v>148</v>
      </c>
    </row>
    <row r="734" spans="2:10" ht="15.95" customHeight="1" x14ac:dyDescent="0.25">
      <c r="B734" s="4">
        <v>4</v>
      </c>
      <c r="C734" s="2" t="s">
        <v>3</v>
      </c>
    </row>
    <row r="736" spans="2:10" ht="15.95" customHeight="1" x14ac:dyDescent="0.25">
      <c r="C736" s="2" t="s">
        <v>4</v>
      </c>
      <c r="J736" s="18">
        <v>421154.98000000324</v>
      </c>
    </row>
    <row r="737" spans="2:10" ht="15.95" customHeight="1" x14ac:dyDescent="0.25">
      <c r="C737" s="2" t="s">
        <v>5</v>
      </c>
    </row>
    <row r="738" spans="2:10" ht="15.95" customHeight="1" x14ac:dyDescent="0.25">
      <c r="C738" s="2" t="s">
        <v>6</v>
      </c>
      <c r="J738" s="18">
        <v>-621473</v>
      </c>
    </row>
    <row r="740" spans="2:10" ht="15.95" customHeight="1" x14ac:dyDescent="0.25">
      <c r="J740" s="18">
        <v>-200318.01999999676</v>
      </c>
    </row>
    <row r="741" spans="2:10" ht="15.95" customHeight="1" x14ac:dyDescent="0.25">
      <c r="B741" s="4">
        <v>1</v>
      </c>
      <c r="C741" s="2" t="s">
        <v>7</v>
      </c>
    </row>
    <row r="742" spans="2:10" ht="15.95" customHeight="1" x14ac:dyDescent="0.25">
      <c r="B742" s="4" t="s">
        <v>8</v>
      </c>
      <c r="C742" s="2" t="s">
        <v>9</v>
      </c>
      <c r="H742" s="16">
        <v>0.28114768960768205</v>
      </c>
      <c r="J742" s="18">
        <v>864400.11</v>
      </c>
    </row>
    <row r="743" spans="2:10" ht="15.95" customHeight="1" x14ac:dyDescent="0.25">
      <c r="C743" s="2" t="s">
        <v>10</v>
      </c>
      <c r="G743" s="5">
        <v>1.1000000000000001</v>
      </c>
      <c r="H743" s="16">
        <v>0.71885231039231801</v>
      </c>
      <c r="J743" s="18">
        <v>2210140.9300000002</v>
      </c>
    </row>
    <row r="744" spans="2:10" ht="15.95" customHeight="1" x14ac:dyDescent="0.25">
      <c r="C744" s="2" t="s">
        <v>12</v>
      </c>
      <c r="H744" s="16">
        <v>0</v>
      </c>
      <c r="J744" s="18">
        <v>0</v>
      </c>
    </row>
    <row r="745" spans="2:10" ht="15.95" customHeight="1" x14ac:dyDescent="0.25">
      <c r="H745" s="16">
        <v>1</v>
      </c>
      <c r="J745" s="18">
        <v>3074541.04</v>
      </c>
    </row>
    <row r="747" spans="2:10" ht="15.95" customHeight="1" x14ac:dyDescent="0.25">
      <c r="B747" s="4">
        <v>1.1000000000000001</v>
      </c>
      <c r="C747" s="2" t="s">
        <v>10</v>
      </c>
    </row>
    <row r="748" spans="2:10" ht="15.95" customHeight="1" x14ac:dyDescent="0.25">
      <c r="C748" s="2" t="s">
        <v>13</v>
      </c>
      <c r="H748" s="16">
        <v>1.9862986746279569E-2</v>
      </c>
      <c r="J748" s="18">
        <v>43900</v>
      </c>
    </row>
    <row r="749" spans="2:10" ht="15.95" customHeight="1" x14ac:dyDescent="0.25">
      <c r="C749" s="2" t="s">
        <v>14</v>
      </c>
      <c r="H749" s="16">
        <v>0.15254683329175756</v>
      </c>
      <c r="J749" s="18">
        <v>337150</v>
      </c>
    </row>
    <row r="750" spans="2:10" ht="15.95" customHeight="1" x14ac:dyDescent="0.25">
      <c r="C750" s="2" t="s">
        <v>15</v>
      </c>
      <c r="H750" s="16">
        <v>5.8141088767583698E-2</v>
      </c>
      <c r="J750" s="18">
        <v>128500</v>
      </c>
    </row>
    <row r="751" spans="2:10" ht="15.95" customHeight="1" x14ac:dyDescent="0.25">
      <c r="C751" s="2" t="s">
        <v>16</v>
      </c>
      <c r="H751" s="16">
        <v>1.737445765506003E-2</v>
      </c>
      <c r="J751" s="18">
        <v>38400</v>
      </c>
    </row>
    <row r="752" spans="2:10" ht="15.95" customHeight="1" x14ac:dyDescent="0.25">
      <c r="C752" s="2" t="s">
        <v>17</v>
      </c>
      <c r="H752" s="16">
        <v>6.1828636420936285E-2</v>
      </c>
      <c r="J752" s="18">
        <v>136650</v>
      </c>
    </row>
    <row r="753" spans="2:10" ht="15.95" customHeight="1" x14ac:dyDescent="0.25">
      <c r="C753" s="2" t="s">
        <v>18</v>
      </c>
      <c r="H753" s="16">
        <v>0.15180027456439169</v>
      </c>
      <c r="J753" s="18">
        <v>335500</v>
      </c>
    </row>
    <row r="754" spans="2:10" ht="15.95" customHeight="1" x14ac:dyDescent="0.25">
      <c r="C754" s="2" t="s">
        <v>123</v>
      </c>
      <c r="H754" s="16">
        <v>4.8503694287042591E-2</v>
      </c>
      <c r="J754" s="18">
        <v>107200</v>
      </c>
    </row>
    <row r="755" spans="2:10" ht="15.95" customHeight="1" x14ac:dyDescent="0.25">
      <c r="C755" s="2" t="s">
        <v>21</v>
      </c>
      <c r="H755" s="16">
        <v>0.16465013387177982</v>
      </c>
      <c r="J755" s="18">
        <v>363900</v>
      </c>
    </row>
    <row r="756" spans="2:10" ht="15.95" customHeight="1" x14ac:dyDescent="0.25">
      <c r="C756" s="2" t="s">
        <v>22</v>
      </c>
      <c r="H756" s="16">
        <v>7.8320797398200304E-2</v>
      </c>
      <c r="J756" s="18">
        <v>173100</v>
      </c>
    </row>
    <row r="757" spans="2:10" ht="15.95" customHeight="1" x14ac:dyDescent="0.25">
      <c r="C757" s="2" t="s">
        <v>121</v>
      </c>
      <c r="H757" s="16">
        <v>3.4386947442306311E-3</v>
      </c>
      <c r="J757" s="18">
        <v>7600</v>
      </c>
    </row>
    <row r="758" spans="2:10" ht="15.95" customHeight="1" x14ac:dyDescent="0.25">
      <c r="C758" s="2" t="s">
        <v>131</v>
      </c>
      <c r="H758" s="16">
        <v>7.5515546422643728E-2</v>
      </c>
      <c r="J758" s="18">
        <v>166900</v>
      </c>
    </row>
    <row r="759" spans="2:10" ht="15.95" customHeight="1" x14ac:dyDescent="0.25">
      <c r="C759" s="2" t="s">
        <v>23</v>
      </c>
      <c r="H759" s="16">
        <v>0.16801685583009404</v>
      </c>
      <c r="J759" s="18">
        <v>371340.93</v>
      </c>
    </row>
    <row r="760" spans="2:10" ht="15.95" customHeight="1" x14ac:dyDescent="0.25">
      <c r="H760" s="16">
        <v>1</v>
      </c>
      <c r="J760" s="18">
        <v>2210140.9300000002</v>
      </c>
    </row>
    <row r="761" spans="2:10" ht="15.95" customHeight="1" x14ac:dyDescent="0.25">
      <c r="B761" s="4">
        <v>2</v>
      </c>
      <c r="C761" s="2" t="s">
        <v>26</v>
      </c>
    </row>
    <row r="763" spans="2:10" ht="15.95" customHeight="1" x14ac:dyDescent="0.25">
      <c r="C763" s="2" t="s">
        <v>27</v>
      </c>
      <c r="H763" s="16">
        <v>0.67564283572075579</v>
      </c>
      <c r="J763" s="18">
        <v>1198952.4000000001</v>
      </c>
    </row>
    <row r="764" spans="2:10" ht="15.95" customHeight="1" x14ac:dyDescent="0.25">
      <c r="C764" s="2" t="s">
        <v>28</v>
      </c>
      <c r="H764" s="16">
        <v>6.6069785687051215E-3</v>
      </c>
      <c r="J764" s="18">
        <v>11724.32</v>
      </c>
    </row>
    <row r="765" spans="2:10" ht="15.95" customHeight="1" x14ac:dyDescent="0.25">
      <c r="C765" s="2" t="s">
        <v>29</v>
      </c>
      <c r="G765" s="5">
        <v>2.1</v>
      </c>
      <c r="H765" s="16">
        <v>0.29985821644173083</v>
      </c>
      <c r="J765" s="18">
        <v>532109.14</v>
      </c>
    </row>
    <row r="766" spans="2:10" ht="15.95" customHeight="1" x14ac:dyDescent="0.25">
      <c r="C766" s="2" t="s">
        <v>31</v>
      </c>
      <c r="H766" s="16">
        <v>1.7891969268808212E-2</v>
      </c>
      <c r="J766" s="18">
        <v>31749.94</v>
      </c>
    </row>
    <row r="767" spans="2:10" ht="15.95" customHeight="1" x14ac:dyDescent="0.25">
      <c r="H767" s="16">
        <v>0.99999999999999989</v>
      </c>
      <c r="J767" s="18">
        <v>1774535.8000000003</v>
      </c>
    </row>
    <row r="768" spans="2:10" ht="15.95" customHeight="1" x14ac:dyDescent="0.25">
      <c r="B768" s="4">
        <v>2.1</v>
      </c>
      <c r="C768" s="2" t="s">
        <v>32</v>
      </c>
    </row>
    <row r="769" spans="2:10" ht="15.95" customHeight="1" x14ac:dyDescent="0.25">
      <c r="C769" s="2" t="s">
        <v>34</v>
      </c>
      <c r="H769" s="16">
        <v>2.0625467925621425E-2</v>
      </c>
      <c r="J769" s="18">
        <v>10975</v>
      </c>
    </row>
    <row r="770" spans="2:10" ht="15.95" customHeight="1" x14ac:dyDescent="0.25">
      <c r="C770" s="2" t="s">
        <v>35</v>
      </c>
      <c r="H770" s="16">
        <v>0.2217637156166872</v>
      </c>
      <c r="J770" s="18">
        <v>118002.5</v>
      </c>
    </row>
    <row r="771" spans="2:10" ht="15.95" customHeight="1" x14ac:dyDescent="0.25">
      <c r="C771" s="2" t="s">
        <v>36</v>
      </c>
      <c r="D771" s="2" t="s">
        <v>25</v>
      </c>
      <c r="H771" s="16">
        <v>8.4522133936658181E-2</v>
      </c>
      <c r="J771" s="18">
        <v>44975</v>
      </c>
    </row>
    <row r="772" spans="2:10" ht="15.95" customHeight="1" x14ac:dyDescent="0.25">
      <c r="C772" s="2" t="s">
        <v>37</v>
      </c>
      <c r="H772" s="16">
        <v>2.525797621142159E-2</v>
      </c>
      <c r="J772" s="18">
        <v>13440</v>
      </c>
    </row>
    <row r="773" spans="2:10" ht="15.95" customHeight="1" x14ac:dyDescent="0.25">
      <c r="C773" s="2" t="s">
        <v>38</v>
      </c>
      <c r="H773" s="16">
        <v>8.988287628361355E-2</v>
      </c>
      <c r="J773" s="18">
        <v>47827.5</v>
      </c>
    </row>
    <row r="774" spans="2:10" ht="15.95" customHeight="1" x14ac:dyDescent="0.25">
      <c r="C774" s="2" t="s">
        <v>42</v>
      </c>
      <c r="H774" s="16">
        <v>0.18915292452973087</v>
      </c>
      <c r="J774" s="18">
        <v>100650</v>
      </c>
    </row>
    <row r="775" spans="2:10" ht="15.95" customHeight="1" x14ac:dyDescent="0.25">
      <c r="C775" s="2" t="s">
        <v>124</v>
      </c>
      <c r="H775" s="16">
        <v>4.0294064484590511E-2</v>
      </c>
      <c r="J775" s="18">
        <v>21440.84</v>
      </c>
    </row>
    <row r="776" spans="2:10" ht="15.95" customHeight="1" x14ac:dyDescent="0.25">
      <c r="C776" s="2" t="s">
        <v>43</v>
      </c>
      <c r="H776" s="16">
        <v>0.17446665170983533</v>
      </c>
      <c r="J776" s="18">
        <v>92835.3</v>
      </c>
    </row>
    <row r="777" spans="2:10" ht="15.95" customHeight="1" x14ac:dyDescent="0.25">
      <c r="C777" s="2" t="s">
        <v>140</v>
      </c>
      <c r="H777" s="16">
        <v>4.2848352501518765E-3</v>
      </c>
      <c r="J777" s="18">
        <v>2280</v>
      </c>
    </row>
    <row r="778" spans="2:10" ht="15.95" customHeight="1" x14ac:dyDescent="0.25">
      <c r="C778" s="2" t="s">
        <v>141</v>
      </c>
      <c r="H778" s="16">
        <v>8.4687513542804391E-2</v>
      </c>
      <c r="J778" s="18">
        <v>45063</v>
      </c>
    </row>
    <row r="779" spans="2:10" ht="15.95" customHeight="1" x14ac:dyDescent="0.25">
      <c r="C779" s="2" t="s">
        <v>116</v>
      </c>
      <c r="H779" s="16">
        <v>6.5061840508885069E-2</v>
      </c>
      <c r="J779" s="18">
        <v>34620</v>
      </c>
    </row>
    <row r="780" spans="2:10" ht="15.95" customHeight="1" x14ac:dyDescent="0.25">
      <c r="H780" s="16">
        <v>1</v>
      </c>
      <c r="J780" s="18">
        <v>532109.14</v>
      </c>
    </row>
    <row r="781" spans="2:10" ht="15.95" customHeight="1" x14ac:dyDescent="0.25">
      <c r="B781" s="4">
        <v>3</v>
      </c>
      <c r="C781" s="2" t="s">
        <v>44</v>
      </c>
    </row>
    <row r="782" spans="2:10" ht="15.95" customHeight="1" x14ac:dyDescent="0.25">
      <c r="C782" s="2" t="s">
        <v>45</v>
      </c>
      <c r="H782" s="16">
        <v>0.12268023656324396</v>
      </c>
      <c r="J782" s="18">
        <v>151000</v>
      </c>
    </row>
    <row r="783" spans="2:10" ht="15.95" customHeight="1" x14ac:dyDescent="0.25">
      <c r="D783" s="2" t="s">
        <v>46</v>
      </c>
      <c r="F783" s="18">
        <v>50000</v>
      </c>
      <c r="H783" s="16" t="s">
        <v>47</v>
      </c>
      <c r="J783" s="18" t="s">
        <v>47</v>
      </c>
    </row>
    <row r="784" spans="2:10" ht="15.95" customHeight="1" x14ac:dyDescent="0.25">
      <c r="D784" s="2" t="s">
        <v>48</v>
      </c>
      <c r="F784" s="18">
        <v>20000</v>
      </c>
      <c r="H784" s="16" t="s">
        <v>47</v>
      </c>
      <c r="J784" s="18" t="s">
        <v>47</v>
      </c>
    </row>
    <row r="785" spans="3:10" ht="15.95" customHeight="1" x14ac:dyDescent="0.25">
      <c r="D785" s="2" t="s">
        <v>50</v>
      </c>
      <c r="F785" s="18">
        <v>35000</v>
      </c>
      <c r="H785" s="16" t="s">
        <v>47</v>
      </c>
      <c r="J785" s="18" t="s">
        <v>47</v>
      </c>
    </row>
    <row r="786" spans="3:10" ht="15.95" customHeight="1" x14ac:dyDescent="0.25">
      <c r="D786" s="2" t="s">
        <v>94</v>
      </c>
      <c r="F786" s="18">
        <v>35000</v>
      </c>
      <c r="H786" s="16" t="s">
        <v>47</v>
      </c>
      <c r="J786" s="18" t="s">
        <v>47</v>
      </c>
    </row>
    <row r="787" spans="3:10" ht="15.95" customHeight="1" x14ac:dyDescent="0.25">
      <c r="D787" s="2" t="s">
        <v>52</v>
      </c>
      <c r="F787" s="18">
        <v>11000</v>
      </c>
    </row>
    <row r="788" spans="3:10" ht="15.95" customHeight="1" x14ac:dyDescent="0.25">
      <c r="H788" s="16" t="s">
        <v>47</v>
      </c>
      <c r="J788" s="18" t="s">
        <v>47</v>
      </c>
    </row>
    <row r="789" spans="3:10" ht="15.95" customHeight="1" x14ac:dyDescent="0.25">
      <c r="C789" s="2" t="s">
        <v>53</v>
      </c>
      <c r="H789" s="16">
        <v>2.4373556933094828E-2</v>
      </c>
      <c r="J789" s="18">
        <v>30000</v>
      </c>
    </row>
    <row r="790" spans="3:10" ht="15.95" customHeight="1" x14ac:dyDescent="0.25">
      <c r="D790" s="2" t="s">
        <v>95</v>
      </c>
      <c r="F790" s="18">
        <v>30000</v>
      </c>
    </row>
    <row r="791" spans="3:10" ht="15.95" customHeight="1" x14ac:dyDescent="0.25">
      <c r="C791" s="2" t="s">
        <v>54</v>
      </c>
      <c r="H791" s="16">
        <v>4.239861473701622E-2</v>
      </c>
      <c r="J791" s="18">
        <v>52186</v>
      </c>
    </row>
    <row r="792" spans="3:10" ht="15.95" customHeight="1" x14ac:dyDescent="0.25">
      <c r="C792" s="2" t="s">
        <v>57</v>
      </c>
      <c r="H792" s="16">
        <v>7.7987257666925752E-3</v>
      </c>
      <c r="J792" s="18">
        <v>9599</v>
      </c>
    </row>
    <row r="793" spans="3:10" ht="15.95" customHeight="1" x14ac:dyDescent="0.25">
      <c r="C793" s="2" t="s">
        <v>58</v>
      </c>
      <c r="H793" s="16">
        <v>0.3188739400447872</v>
      </c>
      <c r="J793" s="18">
        <v>392483.47</v>
      </c>
    </row>
    <row r="794" spans="3:10" ht="15.95" customHeight="1" x14ac:dyDescent="0.25">
      <c r="D794" s="2" t="s">
        <v>97</v>
      </c>
      <c r="F794" s="18">
        <v>25112.57</v>
      </c>
    </row>
    <row r="795" spans="3:10" ht="15.95" customHeight="1" x14ac:dyDescent="0.25">
      <c r="D795" s="2" t="s">
        <v>98</v>
      </c>
      <c r="F795" s="18">
        <v>82370.899999999994</v>
      </c>
    </row>
    <row r="796" spans="3:10" ht="15.95" customHeight="1" x14ac:dyDescent="0.25">
      <c r="D796" s="2" t="s">
        <v>142</v>
      </c>
      <c r="F796" s="18">
        <v>20000</v>
      </c>
    </row>
    <row r="797" spans="3:10" ht="15.95" customHeight="1" x14ac:dyDescent="0.25">
      <c r="D797" s="2" t="s">
        <v>143</v>
      </c>
      <c r="F797" s="18">
        <v>75000</v>
      </c>
    </row>
    <row r="798" spans="3:10" ht="15.95" customHeight="1" x14ac:dyDescent="0.25">
      <c r="D798" s="2" t="s">
        <v>144</v>
      </c>
      <c r="F798" s="18">
        <v>40000</v>
      </c>
    </row>
    <row r="799" spans="3:10" ht="15.95" customHeight="1" x14ac:dyDescent="0.25">
      <c r="D799" s="2" t="s">
        <v>145</v>
      </c>
      <c r="F799" s="18">
        <v>150000</v>
      </c>
    </row>
    <row r="800" spans="3:10" ht="15.95" customHeight="1" x14ac:dyDescent="0.25">
      <c r="C800" s="2" t="s">
        <v>135</v>
      </c>
      <c r="H800" s="16">
        <v>1.7873941750936206E-2</v>
      </c>
      <c r="J800" s="18">
        <v>22000</v>
      </c>
    </row>
    <row r="801" spans="2:10" ht="15.95" customHeight="1" x14ac:dyDescent="0.25">
      <c r="C801" s="2" t="s">
        <v>61</v>
      </c>
      <c r="H801" s="16">
        <v>1.0579448005556519E-2</v>
      </c>
      <c r="J801" s="18">
        <v>13021.63</v>
      </c>
    </row>
    <row r="802" spans="2:10" ht="15.95" customHeight="1" x14ac:dyDescent="0.25">
      <c r="C802" s="2" t="s">
        <v>62</v>
      </c>
      <c r="H802" s="16">
        <v>8.9775934703565947E-4</v>
      </c>
      <c r="J802" s="18">
        <v>1105</v>
      </c>
    </row>
    <row r="803" spans="2:10" ht="15.95" customHeight="1" x14ac:dyDescent="0.25">
      <c r="C803" s="2" t="s">
        <v>63</v>
      </c>
      <c r="H803" s="16">
        <v>0.25592234779749568</v>
      </c>
      <c r="J803" s="18">
        <v>315000</v>
      </c>
    </row>
    <row r="804" spans="2:10" ht="15.95" customHeight="1" x14ac:dyDescent="0.25">
      <c r="D804" s="2" t="s">
        <v>64</v>
      </c>
      <c r="F804" s="18">
        <v>65000</v>
      </c>
    </row>
    <row r="805" spans="2:10" ht="15.95" customHeight="1" x14ac:dyDescent="0.25">
      <c r="D805" s="2" t="s">
        <v>65</v>
      </c>
      <c r="F805" s="18">
        <v>250000</v>
      </c>
    </row>
    <row r="806" spans="2:10" ht="15.95" customHeight="1" x14ac:dyDescent="0.25">
      <c r="C806" s="2" t="s">
        <v>66</v>
      </c>
      <c r="H806" s="16">
        <v>5.3597451695875523E-3</v>
      </c>
      <c r="J806" s="18">
        <v>6597</v>
      </c>
    </row>
    <row r="807" spans="2:10" ht="15.95" customHeight="1" x14ac:dyDescent="0.25">
      <c r="C807" s="2" t="s">
        <v>67</v>
      </c>
      <c r="H807" s="16">
        <v>3.7129051728081121E-4</v>
      </c>
      <c r="J807" s="18">
        <v>457</v>
      </c>
    </row>
    <row r="808" spans="2:10" ht="15.95" customHeight="1" x14ac:dyDescent="0.25">
      <c r="C808" s="2" t="s">
        <v>102</v>
      </c>
      <c r="H808" s="16">
        <v>6.1697597116640709E-3</v>
      </c>
      <c r="J808" s="18">
        <v>7594</v>
      </c>
    </row>
    <row r="809" spans="2:10" ht="15.95" customHeight="1" x14ac:dyDescent="0.25">
      <c r="C809" s="2" t="s">
        <v>146</v>
      </c>
      <c r="H809" s="16">
        <v>0.18030338741256899</v>
      </c>
      <c r="J809" s="18">
        <v>221925</v>
      </c>
    </row>
    <row r="810" spans="2:10" ht="15.95" customHeight="1" x14ac:dyDescent="0.25">
      <c r="C810" s="2" t="s">
        <v>139</v>
      </c>
      <c r="H810" s="16">
        <v>1.2381766922012173E-3</v>
      </c>
      <c r="J810" s="18">
        <v>1524</v>
      </c>
    </row>
    <row r="811" spans="2:10" ht="15.95" customHeight="1" x14ac:dyDescent="0.25">
      <c r="C811" s="2" t="s">
        <v>147</v>
      </c>
      <c r="H811" s="16">
        <v>5.1590695508384049E-3</v>
      </c>
      <c r="J811" s="18">
        <v>6350</v>
      </c>
    </row>
    <row r="812" spans="2:10" ht="15.95" customHeight="1" x14ac:dyDescent="0.25">
      <c r="H812" s="16">
        <v>1</v>
      </c>
      <c r="J812" s="18">
        <v>1230842.1000000001</v>
      </c>
    </row>
    <row r="815" spans="2:10" ht="15.95" customHeight="1" x14ac:dyDescent="0.25">
      <c r="B815" s="4">
        <v>4</v>
      </c>
      <c r="C815" s="2" t="s">
        <v>70</v>
      </c>
    </row>
    <row r="816" spans="2:10" ht="15.95" customHeight="1" x14ac:dyDescent="0.25">
      <c r="C816" s="2" t="s">
        <v>71</v>
      </c>
      <c r="J816" s="18">
        <v>1690740</v>
      </c>
    </row>
    <row r="817" spans="2:10" ht="15.95" customHeight="1" x14ac:dyDescent="0.25">
      <c r="D817" s="2" t="s">
        <v>73</v>
      </c>
      <c r="F817" s="18">
        <v>1630740</v>
      </c>
      <c r="H817" s="16">
        <v>0.96451258029028708</v>
      </c>
    </row>
    <row r="818" spans="2:10" ht="15.95" customHeight="1" x14ac:dyDescent="0.25">
      <c r="D818" s="2" t="s">
        <v>72</v>
      </c>
      <c r="F818" s="18">
        <v>60000</v>
      </c>
      <c r="H818" s="16">
        <v>3.5487419709712906E-2</v>
      </c>
      <c r="J818" s="18" t="s">
        <v>47</v>
      </c>
    </row>
    <row r="819" spans="2:10" ht="15.95" customHeight="1" x14ac:dyDescent="0.25">
      <c r="D819" s="2" t="s">
        <v>74</v>
      </c>
      <c r="F819" s="18">
        <v>0</v>
      </c>
      <c r="H819" s="16">
        <v>0</v>
      </c>
    </row>
    <row r="820" spans="2:10" ht="15.95" customHeight="1" x14ac:dyDescent="0.25">
      <c r="H820" s="16">
        <v>1</v>
      </c>
      <c r="J820" s="18">
        <v>1690740</v>
      </c>
    </row>
    <row r="822" spans="2:10" ht="15.95" customHeight="1" x14ac:dyDescent="0.25">
      <c r="B822" s="4">
        <v>4.0999999999999996</v>
      </c>
      <c r="C822" s="2" t="s">
        <v>75</v>
      </c>
    </row>
    <row r="823" spans="2:10" ht="15.95" customHeight="1" x14ac:dyDescent="0.25">
      <c r="C823" s="2" t="s">
        <v>76</v>
      </c>
      <c r="H823" s="16">
        <v>3.5762181493071074E-2</v>
      </c>
      <c r="J823" s="18">
        <v>80000</v>
      </c>
    </row>
    <row r="824" spans="2:10" ht="15.95" customHeight="1" x14ac:dyDescent="0.25">
      <c r="D824" s="2" t="s">
        <v>72</v>
      </c>
      <c r="F824" s="18">
        <v>0</v>
      </c>
      <c r="H824" s="16" t="s">
        <v>47</v>
      </c>
      <c r="J824" s="18" t="s">
        <v>47</v>
      </c>
    </row>
    <row r="825" spans="2:10" ht="15.95" customHeight="1" x14ac:dyDescent="0.25">
      <c r="C825" s="2" t="s">
        <v>77</v>
      </c>
      <c r="H825" s="16">
        <v>0.96423781850692891</v>
      </c>
      <c r="J825" s="18">
        <v>2157000</v>
      </c>
    </row>
    <row r="826" spans="2:10" ht="15.95" customHeight="1" x14ac:dyDescent="0.25">
      <c r="H826" s="16">
        <v>1</v>
      </c>
      <c r="J826" s="18">
        <v>2237000</v>
      </c>
    </row>
    <row r="828" spans="2:10" ht="15.95" customHeight="1" x14ac:dyDescent="0.25">
      <c r="B828" s="4">
        <v>5</v>
      </c>
      <c r="C828" s="2" t="s">
        <v>78</v>
      </c>
    </row>
    <row r="829" spans="2:10" ht="15.95" customHeight="1" x14ac:dyDescent="0.25">
      <c r="C829" s="2" t="s">
        <v>79</v>
      </c>
      <c r="H829" s="16" t="s">
        <v>47</v>
      </c>
      <c r="J829" s="18">
        <v>5113392.34</v>
      </c>
    </row>
    <row r="830" spans="2:10" ht="15.95" customHeight="1" x14ac:dyDescent="0.25">
      <c r="D830" s="2" t="s">
        <v>80</v>
      </c>
      <c r="F830" s="18">
        <v>1225070.6299999999</v>
      </c>
      <c r="H830" s="16">
        <v>0.23958080048283562</v>
      </c>
      <c r="J830" s="18" t="s">
        <v>47</v>
      </c>
    </row>
    <row r="831" spans="2:10" ht="15.95" customHeight="1" x14ac:dyDescent="0.25">
      <c r="D831" s="2" t="s">
        <v>81</v>
      </c>
      <c r="F831" s="18">
        <v>1403464</v>
      </c>
      <c r="H831" s="16">
        <v>0.2744682798973333</v>
      </c>
      <c r="J831" s="18" t="s">
        <v>47</v>
      </c>
    </row>
    <row r="832" spans="2:10" ht="15.95" customHeight="1" x14ac:dyDescent="0.25">
      <c r="D832" s="2" t="s">
        <v>121</v>
      </c>
      <c r="F832" s="18">
        <v>5320</v>
      </c>
      <c r="H832" s="16">
        <v>1.0404052038768454E-3</v>
      </c>
      <c r="J832" s="18" t="s">
        <v>47</v>
      </c>
    </row>
    <row r="833" spans="2:10" ht="15.95" customHeight="1" x14ac:dyDescent="0.25">
      <c r="D833" s="2" t="s">
        <v>84</v>
      </c>
      <c r="F833" s="18">
        <v>289945</v>
      </c>
      <c r="H833" s="16">
        <v>5.6703061435727814E-2</v>
      </c>
      <c r="J833" s="18" t="s">
        <v>47</v>
      </c>
    </row>
    <row r="834" spans="2:10" ht="15.95" customHeight="1" x14ac:dyDescent="0.25">
      <c r="D834" s="2" t="s">
        <v>85</v>
      </c>
      <c r="H834" s="16">
        <v>0</v>
      </c>
    </row>
    <row r="835" spans="2:10" ht="15.95" customHeight="1" x14ac:dyDescent="0.25">
      <c r="D835" s="2" t="s">
        <v>86</v>
      </c>
      <c r="F835" s="18">
        <v>749861</v>
      </c>
      <c r="H835" s="16">
        <v>0.14664648244065701</v>
      </c>
      <c r="J835" s="18" t="s">
        <v>47</v>
      </c>
    </row>
    <row r="836" spans="2:10" ht="15.95" customHeight="1" x14ac:dyDescent="0.25">
      <c r="D836" s="2" t="s">
        <v>87</v>
      </c>
      <c r="F836" s="18">
        <v>606257.86</v>
      </c>
      <c r="H836" s="16">
        <v>0.11856275045775189</v>
      </c>
      <c r="J836" s="18" t="s">
        <v>47</v>
      </c>
    </row>
    <row r="837" spans="2:10" ht="15.95" customHeight="1" x14ac:dyDescent="0.25">
      <c r="D837" s="2" t="s">
        <v>88</v>
      </c>
      <c r="F837" s="18">
        <v>138480</v>
      </c>
      <c r="H837" s="16">
        <v>2.7081825682869466E-2</v>
      </c>
      <c r="J837" s="18">
        <v>0</v>
      </c>
    </row>
    <row r="838" spans="2:10" ht="15.95" customHeight="1" x14ac:dyDescent="0.25">
      <c r="D838" s="2" t="s">
        <v>131</v>
      </c>
      <c r="F838" s="18">
        <v>72002</v>
      </c>
      <c r="H838" s="16">
        <v>1.4081063061943727E-2</v>
      </c>
    </row>
    <row r="839" spans="2:10" ht="15.95" customHeight="1" x14ac:dyDescent="0.25">
      <c r="D839" s="2" t="s">
        <v>11</v>
      </c>
      <c r="F839" s="18">
        <v>102792</v>
      </c>
      <c r="H839" s="16">
        <v>2.0102505961824946E-2</v>
      </c>
      <c r="J839" s="18">
        <v>0</v>
      </c>
    </row>
    <row r="840" spans="2:10" ht="15.95" customHeight="1" x14ac:dyDescent="0.25">
      <c r="D840" s="2" t="s">
        <v>132</v>
      </c>
      <c r="F840" s="18">
        <v>130720</v>
      </c>
      <c r="H840" s="16">
        <v>2.5564242152402491E-2</v>
      </c>
    </row>
    <row r="841" spans="2:10" ht="15.95" customHeight="1" x14ac:dyDescent="0.25">
      <c r="D841" s="2" t="s">
        <v>89</v>
      </c>
      <c r="F841" s="18">
        <v>389479.85</v>
      </c>
      <c r="H841" s="16">
        <v>7.616858322277692E-2</v>
      </c>
      <c r="J841" s="18" t="s">
        <v>47</v>
      </c>
    </row>
    <row r="842" spans="2:10" ht="15.95" customHeight="1" x14ac:dyDescent="0.25">
      <c r="H842" s="16">
        <v>1</v>
      </c>
      <c r="J842" s="18">
        <v>5113392.34</v>
      </c>
    </row>
    <row r="845" spans="2:10" ht="32.25" customHeight="1" x14ac:dyDescent="0.25">
      <c r="G845" s="5" t="s">
        <v>0</v>
      </c>
      <c r="H845" s="16" t="s">
        <v>1</v>
      </c>
      <c r="J845" s="72" t="s">
        <v>158</v>
      </c>
    </row>
    <row r="847" spans="2:10" ht="15.95" customHeight="1" x14ac:dyDescent="0.25">
      <c r="B847" s="4">
        <v>4</v>
      </c>
      <c r="C847" s="2" t="s">
        <v>3</v>
      </c>
    </row>
    <row r="849" spans="2:10" ht="15.95" customHeight="1" x14ac:dyDescent="0.25">
      <c r="C849" s="2" t="s">
        <v>4</v>
      </c>
      <c r="J849" s="18">
        <v>421154.98000000324</v>
      </c>
    </row>
    <row r="850" spans="2:10" ht="15.95" customHeight="1" x14ac:dyDescent="0.25">
      <c r="C850" s="2" t="s">
        <v>5</v>
      </c>
    </row>
    <row r="851" spans="2:10" ht="15.95" customHeight="1" x14ac:dyDescent="0.25">
      <c r="C851" s="2" t="s">
        <v>6</v>
      </c>
      <c r="J851" s="18">
        <v>-621473</v>
      </c>
    </row>
    <row r="853" spans="2:10" ht="15.95" customHeight="1" x14ac:dyDescent="0.25">
      <c r="J853" s="18">
        <v>-200318.01999999676</v>
      </c>
    </row>
    <row r="854" spans="2:10" ht="15.95" customHeight="1" x14ac:dyDescent="0.25">
      <c r="B854" s="4">
        <v>1</v>
      </c>
      <c r="C854" s="2" t="s">
        <v>7</v>
      </c>
    </row>
    <row r="855" spans="2:10" ht="15.95" customHeight="1" x14ac:dyDescent="0.25">
      <c r="B855" s="4" t="s">
        <v>8</v>
      </c>
      <c r="C855" s="2" t="s">
        <v>9</v>
      </c>
      <c r="H855" s="16">
        <v>0.26813528106608298</v>
      </c>
      <c r="J855" s="18">
        <v>851200</v>
      </c>
    </row>
    <row r="856" spans="2:10" ht="15.95" customHeight="1" x14ac:dyDescent="0.25">
      <c r="C856" s="2" t="s">
        <v>150</v>
      </c>
      <c r="H856" s="16">
        <v>3.7297012779868681E-2</v>
      </c>
      <c r="J856" s="18">
        <v>118400</v>
      </c>
    </row>
    <row r="857" spans="2:10" ht="15.95" customHeight="1" x14ac:dyDescent="0.25">
      <c r="C857" s="2" t="s">
        <v>10</v>
      </c>
      <c r="G857" s="5">
        <v>1.1000000000000001</v>
      </c>
      <c r="H857" s="16">
        <v>0.69456770615404839</v>
      </c>
      <c r="J857" s="18">
        <v>2204916.9699999997</v>
      </c>
    </row>
    <row r="858" spans="2:10" ht="15.95" customHeight="1" x14ac:dyDescent="0.25">
      <c r="C858" s="2" t="s">
        <v>12</v>
      </c>
      <c r="H858" s="16">
        <v>0</v>
      </c>
      <c r="J858" s="18">
        <v>0</v>
      </c>
    </row>
    <row r="859" spans="2:10" ht="15.95" customHeight="1" x14ac:dyDescent="0.25">
      <c r="H859" s="16">
        <v>1</v>
      </c>
      <c r="J859" s="18">
        <v>3174516.9699999997</v>
      </c>
    </row>
    <row r="861" spans="2:10" ht="15.95" customHeight="1" x14ac:dyDescent="0.25">
      <c r="B861" s="4">
        <v>1.1000000000000001</v>
      </c>
      <c r="C861" s="2" t="s">
        <v>10</v>
      </c>
    </row>
    <row r="862" spans="2:10" ht="15.95" customHeight="1" x14ac:dyDescent="0.25">
      <c r="C862" s="2" t="s">
        <v>23</v>
      </c>
      <c r="H862" s="16">
        <v>0.13315291867883808</v>
      </c>
      <c r="J862" s="18">
        <v>293591.13</v>
      </c>
    </row>
    <row r="863" spans="2:10" ht="15.95" customHeight="1" x14ac:dyDescent="0.25">
      <c r="C863" s="2" t="s">
        <v>13</v>
      </c>
      <c r="H863" s="16">
        <v>8.8438704338150206E-3</v>
      </c>
      <c r="J863" s="18">
        <v>19500</v>
      </c>
    </row>
    <row r="864" spans="2:10" ht="15.95" customHeight="1" x14ac:dyDescent="0.25">
      <c r="C864" s="2" t="s">
        <v>14</v>
      </c>
      <c r="H864" s="16">
        <v>0.12249894380376601</v>
      </c>
      <c r="J864" s="18">
        <v>270100</v>
      </c>
    </row>
    <row r="865" spans="2:10" ht="15.95" customHeight="1" x14ac:dyDescent="0.25">
      <c r="C865" s="2" t="s">
        <v>15</v>
      </c>
      <c r="H865" s="16">
        <v>7.1839439831605095E-2</v>
      </c>
      <c r="J865" s="18">
        <v>158400</v>
      </c>
    </row>
    <row r="866" spans="2:10" ht="15.95" customHeight="1" x14ac:dyDescent="0.25">
      <c r="C866" s="2" t="s">
        <v>16</v>
      </c>
      <c r="H866" s="16">
        <v>3.0227895610962625E-2</v>
      </c>
      <c r="J866" s="18">
        <v>66650</v>
      </c>
    </row>
    <row r="867" spans="2:10" ht="15.95" customHeight="1" x14ac:dyDescent="0.25">
      <c r="C867" s="2" t="s">
        <v>17</v>
      </c>
      <c r="H867" s="16">
        <v>6.2904863034366335E-2</v>
      </c>
      <c r="J867" s="18">
        <v>138700</v>
      </c>
    </row>
    <row r="868" spans="2:10" ht="15.95" customHeight="1" x14ac:dyDescent="0.25">
      <c r="C868" s="2" t="s">
        <v>18</v>
      </c>
      <c r="H868" s="16">
        <v>0.1428625223923965</v>
      </c>
      <c r="J868" s="18">
        <v>315000</v>
      </c>
    </row>
    <row r="869" spans="2:10" ht="15.95" customHeight="1" x14ac:dyDescent="0.25">
      <c r="C869" s="2" t="s">
        <v>123</v>
      </c>
      <c r="H869" s="16">
        <v>4.2631990809159588E-2</v>
      </c>
      <c r="J869" s="18">
        <v>94000</v>
      </c>
    </row>
    <row r="870" spans="2:10" ht="15.95" customHeight="1" x14ac:dyDescent="0.25">
      <c r="C870" s="2" t="s">
        <v>21</v>
      </c>
      <c r="H870" s="16">
        <v>0.18404321138677618</v>
      </c>
      <c r="J870" s="18">
        <v>405800</v>
      </c>
    </row>
    <row r="871" spans="2:10" ht="15.95" customHeight="1" x14ac:dyDescent="0.25">
      <c r="C871" s="2" t="s">
        <v>22</v>
      </c>
      <c r="H871" s="16">
        <v>4.2858756717718952E-2</v>
      </c>
      <c r="J871" s="18">
        <v>94500</v>
      </c>
    </row>
    <row r="872" spans="2:10" ht="15.95" customHeight="1" x14ac:dyDescent="0.25">
      <c r="C872" s="2" t="s">
        <v>121</v>
      </c>
      <c r="H872" s="16">
        <v>7.7100408910182241E-3</v>
      </c>
      <c r="J872" s="18">
        <v>17000</v>
      </c>
    </row>
    <row r="873" spans="2:10" ht="15.95" customHeight="1" x14ac:dyDescent="0.25">
      <c r="C873" s="2" t="s">
        <v>151</v>
      </c>
      <c r="H873" s="16">
        <v>5.2099848458239228E-2</v>
      </c>
      <c r="J873" s="18">
        <v>114875.84</v>
      </c>
    </row>
    <row r="874" spans="2:10" ht="15.95" customHeight="1" x14ac:dyDescent="0.25">
      <c r="C874" s="2" t="s">
        <v>152</v>
      </c>
      <c r="H874" s="16">
        <v>9.8325697951338289E-2</v>
      </c>
      <c r="J874" s="18">
        <v>216800</v>
      </c>
    </row>
    <row r="875" spans="2:10" ht="15.95" customHeight="1" x14ac:dyDescent="0.25">
      <c r="H875" s="16">
        <v>1.0000000000000002</v>
      </c>
      <c r="J875" s="18">
        <v>2204916.9699999997</v>
      </c>
    </row>
    <row r="876" spans="2:10" ht="15.95" customHeight="1" x14ac:dyDescent="0.25">
      <c r="B876" s="4">
        <v>2</v>
      </c>
      <c r="C876" s="2" t="s">
        <v>26</v>
      </c>
    </row>
    <row r="878" spans="2:10" ht="15.95" customHeight="1" x14ac:dyDescent="0.25">
      <c r="C878" s="2" t="s">
        <v>27</v>
      </c>
      <c r="H878" s="16">
        <v>0.68942216556605551</v>
      </c>
      <c r="J878" s="18">
        <v>1267603.7000000002</v>
      </c>
    </row>
    <row r="879" spans="2:10" ht="15.95" customHeight="1" x14ac:dyDescent="0.25">
      <c r="C879" s="2" t="s">
        <v>28</v>
      </c>
      <c r="H879" s="16">
        <v>6.0260357704308553E-3</v>
      </c>
      <c r="J879" s="18">
        <v>11079.75</v>
      </c>
    </row>
    <row r="880" spans="2:10" ht="15.95" customHeight="1" x14ac:dyDescent="0.25">
      <c r="C880" s="2" t="s">
        <v>29</v>
      </c>
      <c r="G880" s="5">
        <v>2.1</v>
      </c>
      <c r="H880" s="16">
        <v>0.28746110787349416</v>
      </c>
      <c r="J880" s="18">
        <v>528539.38</v>
      </c>
    </row>
    <row r="881" spans="2:10" ht="15.95" customHeight="1" x14ac:dyDescent="0.25">
      <c r="C881" s="2" t="s">
        <v>31</v>
      </c>
      <c r="H881" s="16">
        <v>1.7090690790019531E-2</v>
      </c>
      <c r="J881" s="18">
        <v>31423.74</v>
      </c>
    </row>
    <row r="882" spans="2:10" ht="15.95" customHeight="1" x14ac:dyDescent="0.25">
      <c r="H882" s="16">
        <v>1</v>
      </c>
      <c r="J882" s="18">
        <v>1838646.57</v>
      </c>
    </row>
    <row r="883" spans="2:10" ht="15.95" customHeight="1" x14ac:dyDescent="0.25">
      <c r="B883" s="4">
        <v>2.1</v>
      </c>
      <c r="C883" s="2" t="s">
        <v>32</v>
      </c>
    </row>
    <row r="884" spans="2:10" ht="15.95" customHeight="1" x14ac:dyDescent="0.25">
      <c r="C884" s="2" t="s">
        <v>34</v>
      </c>
      <c r="H884" s="16">
        <v>9.2235322181669788E-3</v>
      </c>
      <c r="J884" s="18">
        <v>4875</v>
      </c>
    </row>
    <row r="885" spans="2:10" ht="15.95" customHeight="1" x14ac:dyDescent="0.25">
      <c r="C885" s="2" t="s">
        <v>35</v>
      </c>
      <c r="H885" s="16">
        <v>0.1788608447680852</v>
      </c>
      <c r="J885" s="18">
        <v>94535</v>
      </c>
    </row>
    <row r="886" spans="2:10" ht="15.95" customHeight="1" x14ac:dyDescent="0.25">
      <c r="C886" s="2" t="s">
        <v>36</v>
      </c>
      <c r="D886" s="2" t="s">
        <v>25</v>
      </c>
      <c r="H886" s="16">
        <v>0.10489284639490817</v>
      </c>
      <c r="J886" s="18">
        <v>55440</v>
      </c>
    </row>
    <row r="887" spans="2:10" ht="15.95" customHeight="1" x14ac:dyDescent="0.25">
      <c r="C887" s="2" t="s">
        <v>37</v>
      </c>
      <c r="H887" s="16">
        <v>4.4135784168059529E-2</v>
      </c>
      <c r="J887" s="18">
        <v>23327.5</v>
      </c>
    </row>
    <row r="888" spans="2:10" ht="15.95" customHeight="1" x14ac:dyDescent="0.25">
      <c r="C888" s="2" t="s">
        <v>38</v>
      </c>
      <c r="H888" s="16">
        <v>9.1847460826854563E-2</v>
      </c>
      <c r="J888" s="18">
        <v>48545</v>
      </c>
    </row>
    <row r="889" spans="2:10" ht="15.95" customHeight="1" x14ac:dyDescent="0.25">
      <c r="C889" s="2" t="s">
        <v>153</v>
      </c>
      <c r="H889" s="16">
        <v>5.4336575639832171E-2</v>
      </c>
      <c r="J889" s="18">
        <v>28719.02</v>
      </c>
    </row>
    <row r="890" spans="2:10" ht="15.95" customHeight="1" x14ac:dyDescent="0.25">
      <c r="C890" s="2" t="s">
        <v>42</v>
      </c>
      <c r="H890" s="16">
        <v>0.1787946245367753</v>
      </c>
      <c r="J890" s="18">
        <v>94500</v>
      </c>
    </row>
    <row r="891" spans="2:10" ht="15.95" customHeight="1" x14ac:dyDescent="0.25">
      <c r="C891" s="2" t="s">
        <v>124</v>
      </c>
      <c r="H891" s="16">
        <v>3.5569724246469585E-2</v>
      </c>
      <c r="J891" s="18">
        <v>18800</v>
      </c>
    </row>
    <row r="892" spans="2:10" ht="15.95" customHeight="1" x14ac:dyDescent="0.25">
      <c r="C892" s="2" t="s">
        <v>43</v>
      </c>
      <c r="H892" s="16">
        <v>0.1388692361957968</v>
      </c>
      <c r="J892" s="18">
        <v>73397.86</v>
      </c>
    </row>
    <row r="893" spans="2:10" ht="15.95" customHeight="1" x14ac:dyDescent="0.25">
      <c r="C893" s="2" t="s">
        <v>140</v>
      </c>
      <c r="H893" s="16">
        <v>9.6492337051593009E-3</v>
      </c>
      <c r="J893" s="18">
        <v>5100</v>
      </c>
    </row>
    <row r="894" spans="2:10" ht="15.95" customHeight="1" x14ac:dyDescent="0.25">
      <c r="C894" s="2" t="s">
        <v>154</v>
      </c>
      <c r="H894" s="16">
        <v>8.2037406559942613E-2</v>
      </c>
      <c r="J894" s="18">
        <v>43360</v>
      </c>
    </row>
    <row r="895" spans="2:10" ht="15.95" customHeight="1" x14ac:dyDescent="0.25">
      <c r="C895" s="2" t="s">
        <v>11</v>
      </c>
      <c r="H895" s="16">
        <v>3.6023805832594728E-2</v>
      </c>
      <c r="J895" s="18">
        <v>19040</v>
      </c>
    </row>
    <row r="896" spans="2:10" ht="15.95" customHeight="1" x14ac:dyDescent="0.25">
      <c r="C896" s="2" t="s">
        <v>116</v>
      </c>
      <c r="H896" s="16">
        <v>3.5758924907355057E-2</v>
      </c>
      <c r="J896" s="18">
        <v>18900</v>
      </c>
    </row>
    <row r="897" spans="2:10" ht="15.95" customHeight="1" x14ac:dyDescent="0.25">
      <c r="H897" s="16">
        <v>1</v>
      </c>
      <c r="J897" s="18">
        <v>528539.38</v>
      </c>
    </row>
    <row r="898" spans="2:10" ht="15.95" customHeight="1" x14ac:dyDescent="0.25">
      <c r="B898" s="4">
        <v>3</v>
      </c>
      <c r="C898" s="2" t="s">
        <v>44</v>
      </c>
    </row>
    <row r="899" spans="2:10" ht="15.95" customHeight="1" x14ac:dyDescent="0.25">
      <c r="C899" s="2" t="s">
        <v>45</v>
      </c>
      <c r="H899" s="16">
        <v>0.13739238829259026</v>
      </c>
      <c r="J899" s="18">
        <v>156000</v>
      </c>
    </row>
    <row r="900" spans="2:10" ht="15.95" customHeight="1" x14ac:dyDescent="0.25">
      <c r="D900" s="2" t="s">
        <v>48</v>
      </c>
      <c r="F900" s="18">
        <v>25000</v>
      </c>
      <c r="H900" s="16" t="s">
        <v>47</v>
      </c>
      <c r="J900" s="18" t="s">
        <v>47</v>
      </c>
    </row>
    <row r="901" spans="2:10" ht="15.95" customHeight="1" x14ac:dyDescent="0.25">
      <c r="D901" s="2" t="s">
        <v>50</v>
      </c>
      <c r="F901" s="18">
        <v>35000</v>
      </c>
      <c r="H901" s="16" t="s">
        <v>47</v>
      </c>
      <c r="J901" s="18" t="s">
        <v>47</v>
      </c>
    </row>
    <row r="902" spans="2:10" ht="15.95" customHeight="1" x14ac:dyDescent="0.25">
      <c r="D902" s="2" t="s">
        <v>155</v>
      </c>
      <c r="F902" s="18">
        <v>35000</v>
      </c>
      <c r="H902" s="16" t="s">
        <v>47</v>
      </c>
      <c r="J902" s="18" t="s">
        <v>47</v>
      </c>
    </row>
    <row r="903" spans="2:10" ht="15.95" customHeight="1" x14ac:dyDescent="0.25">
      <c r="D903" s="2" t="s">
        <v>156</v>
      </c>
      <c r="F903" s="18">
        <v>50000</v>
      </c>
    </row>
    <row r="904" spans="2:10" ht="15.95" customHeight="1" x14ac:dyDescent="0.25">
      <c r="D904" s="2" t="s">
        <v>52</v>
      </c>
      <c r="F904" s="18">
        <v>11000</v>
      </c>
    </row>
    <row r="905" spans="2:10" ht="15.95" customHeight="1" x14ac:dyDescent="0.25">
      <c r="H905" s="16" t="s">
        <v>47</v>
      </c>
      <c r="J905" s="18" t="s">
        <v>47</v>
      </c>
    </row>
    <row r="906" spans="2:10" ht="15.95" customHeight="1" x14ac:dyDescent="0.25">
      <c r="C906" s="2" t="s">
        <v>53</v>
      </c>
      <c r="H906" s="16">
        <v>2.6421613133190434E-2</v>
      </c>
      <c r="J906" s="18">
        <v>30000</v>
      </c>
    </row>
    <row r="907" spans="2:10" ht="15.95" customHeight="1" x14ac:dyDescent="0.25">
      <c r="D907" s="2" t="s">
        <v>95</v>
      </c>
      <c r="F907" s="18">
        <v>30000</v>
      </c>
    </row>
    <row r="908" spans="2:10" ht="15.95" customHeight="1" x14ac:dyDescent="0.25">
      <c r="C908" s="2" t="s">
        <v>54</v>
      </c>
      <c r="H908" s="16">
        <v>4.6393710500569084E-2</v>
      </c>
      <c r="J908" s="18">
        <v>52677</v>
      </c>
    </row>
    <row r="909" spans="2:10" ht="15.95" customHeight="1" x14ac:dyDescent="0.25">
      <c r="C909" s="2" t="s">
        <v>57</v>
      </c>
      <c r="H909" s="16">
        <v>8.3589176749036802E-3</v>
      </c>
      <c r="J909" s="18">
        <v>9491</v>
      </c>
    </row>
    <row r="910" spans="2:10" ht="15.95" customHeight="1" x14ac:dyDescent="0.25">
      <c r="C910" s="2" t="s">
        <v>58</v>
      </c>
      <c r="H910" s="16">
        <v>0.30521474218917222</v>
      </c>
      <c r="J910" s="18">
        <v>346551.22</v>
      </c>
    </row>
    <row r="911" spans="2:10" ht="15.95" customHeight="1" x14ac:dyDescent="0.25">
      <c r="D911" s="2" t="s">
        <v>97</v>
      </c>
      <c r="F911" s="18">
        <v>45278.14</v>
      </c>
    </row>
    <row r="912" spans="2:10" ht="15.95" customHeight="1" x14ac:dyDescent="0.25">
      <c r="D912" s="2" t="s">
        <v>98</v>
      </c>
      <c r="F912" s="18">
        <v>211273.08</v>
      </c>
    </row>
    <row r="913" spans="3:10" ht="15.95" customHeight="1" x14ac:dyDescent="0.25">
      <c r="D913" s="2" t="s">
        <v>142</v>
      </c>
      <c r="F913" s="18">
        <v>10000</v>
      </c>
    </row>
    <row r="914" spans="3:10" ht="15.95" customHeight="1" x14ac:dyDescent="0.25">
      <c r="D914" s="2" t="s">
        <v>144</v>
      </c>
      <c r="F914" s="18">
        <v>80000</v>
      </c>
    </row>
    <row r="915" spans="3:10" ht="15.95" customHeight="1" x14ac:dyDescent="0.25">
      <c r="C915" s="2" t="s">
        <v>135</v>
      </c>
      <c r="H915" s="16">
        <v>2.8376812505046527E-2</v>
      </c>
      <c r="J915" s="18">
        <v>32220</v>
      </c>
    </row>
    <row r="916" spans="3:10" ht="15.95" customHeight="1" x14ac:dyDescent="0.25">
      <c r="C916" s="2" t="s">
        <v>61</v>
      </c>
      <c r="H916" s="16">
        <v>2.5414738299910811E-2</v>
      </c>
      <c r="J916" s="18">
        <v>28856.76</v>
      </c>
    </row>
    <row r="917" spans="3:10" ht="15.95" customHeight="1" x14ac:dyDescent="0.25">
      <c r="C917" s="2" t="s">
        <v>62</v>
      </c>
      <c r="H917" s="16">
        <v>4.3595661669764216E-4</v>
      </c>
      <c r="J917" s="18">
        <v>495</v>
      </c>
    </row>
    <row r="918" spans="3:10" ht="15.95" customHeight="1" x14ac:dyDescent="0.25">
      <c r="C918" s="2" t="s">
        <v>63</v>
      </c>
      <c r="H918" s="16">
        <v>0.27742693789849954</v>
      </c>
      <c r="J918" s="18">
        <v>315000</v>
      </c>
    </row>
    <row r="919" spans="3:10" ht="15.95" customHeight="1" x14ac:dyDescent="0.25">
      <c r="D919" s="2" t="s">
        <v>64</v>
      </c>
      <c r="F919" s="18">
        <v>65000</v>
      </c>
    </row>
    <row r="920" spans="3:10" ht="15.95" customHeight="1" x14ac:dyDescent="0.25">
      <c r="D920" s="2" t="s">
        <v>65</v>
      </c>
      <c r="F920" s="18">
        <v>250000</v>
      </c>
    </row>
    <row r="921" spans="3:10" ht="15.95" customHeight="1" x14ac:dyDescent="0.25">
      <c r="C921" s="2" t="s">
        <v>66</v>
      </c>
      <c r="H921" s="16">
        <v>6.1121998381447207E-3</v>
      </c>
      <c r="J921" s="18">
        <v>6940</v>
      </c>
    </row>
    <row r="922" spans="3:10" ht="15.95" customHeight="1" x14ac:dyDescent="0.25">
      <c r="C922" s="2" t="s">
        <v>67</v>
      </c>
      <c r="H922" s="16">
        <v>8.2268096092377278E-3</v>
      </c>
      <c r="J922" s="18">
        <v>9341</v>
      </c>
    </row>
    <row r="923" spans="3:10" ht="15.95" customHeight="1" x14ac:dyDescent="0.25">
      <c r="C923" s="2" t="s">
        <v>102</v>
      </c>
      <c r="H923" s="16">
        <v>5.1695436163057565E-2</v>
      </c>
      <c r="J923" s="18">
        <v>58696.76</v>
      </c>
    </row>
    <row r="924" spans="3:10" ht="15.95" customHeight="1" x14ac:dyDescent="0.25">
      <c r="C924" s="2" t="s">
        <v>129</v>
      </c>
      <c r="H924" s="16">
        <v>1.6583965843265863E-2</v>
      </c>
      <c r="J924" s="18">
        <v>18830</v>
      </c>
    </row>
    <row r="925" spans="3:10" ht="15.95" customHeight="1" x14ac:dyDescent="0.25">
      <c r="C925" s="2" t="s">
        <v>130</v>
      </c>
      <c r="H925" s="16">
        <v>5.1522145609721346E-3</v>
      </c>
      <c r="J925" s="18">
        <v>5850</v>
      </c>
    </row>
    <row r="926" spans="3:10" ht="15.95" customHeight="1" x14ac:dyDescent="0.25">
      <c r="C926" s="2" t="s">
        <v>139</v>
      </c>
      <c r="H926" s="16">
        <v>5.2044712274269586E-2</v>
      </c>
      <c r="J926" s="18">
        <v>59093.34</v>
      </c>
    </row>
    <row r="927" spans="3:10" ht="15.95" customHeight="1" x14ac:dyDescent="0.25">
      <c r="C927" s="2" t="s">
        <v>147</v>
      </c>
      <c r="H927" s="16">
        <v>4.7488446004720943E-3</v>
      </c>
      <c r="J927" s="18">
        <v>5392</v>
      </c>
    </row>
    <row r="928" spans="3:10" ht="15.95" customHeight="1" x14ac:dyDescent="0.25">
      <c r="H928" s="16">
        <v>0.99999999999999989</v>
      </c>
      <c r="J928" s="18">
        <v>1135434.08</v>
      </c>
    </row>
    <row r="931" spans="2:10" ht="15.95" customHeight="1" x14ac:dyDescent="0.25">
      <c r="B931" s="4">
        <v>4</v>
      </c>
      <c r="C931" s="2" t="s">
        <v>70</v>
      </c>
    </row>
    <row r="932" spans="2:10" ht="15.95" customHeight="1" x14ac:dyDescent="0.25">
      <c r="C932" s="2" t="s">
        <v>71</v>
      </c>
      <c r="J932" s="18">
        <v>941740</v>
      </c>
    </row>
    <row r="933" spans="2:10" ht="15.95" customHeight="1" x14ac:dyDescent="0.25">
      <c r="D933" s="2" t="s">
        <v>73</v>
      </c>
      <c r="F933" s="18">
        <v>851740</v>
      </c>
      <c r="H933" s="16">
        <v>0.90443222120755196</v>
      </c>
    </row>
    <row r="934" spans="2:10" ht="15.95" customHeight="1" x14ac:dyDescent="0.25">
      <c r="D934" s="2" t="s">
        <v>72</v>
      </c>
      <c r="F934" s="18">
        <v>90000</v>
      </c>
      <c r="H934" s="16">
        <v>9.5567778792448016E-2</v>
      </c>
      <c r="J934" s="18" t="s">
        <v>47</v>
      </c>
    </row>
    <row r="935" spans="2:10" ht="15.95" customHeight="1" x14ac:dyDescent="0.25">
      <c r="D935" s="2" t="s">
        <v>74</v>
      </c>
      <c r="F935" s="18">
        <v>0</v>
      </c>
      <c r="H935" s="16">
        <v>0</v>
      </c>
    </row>
    <row r="936" spans="2:10" ht="15.95" customHeight="1" x14ac:dyDescent="0.25">
      <c r="H936" s="16">
        <v>1</v>
      </c>
      <c r="J936" s="18">
        <v>941740</v>
      </c>
    </row>
    <row r="938" spans="2:10" ht="15.95" customHeight="1" x14ac:dyDescent="0.25">
      <c r="B938" s="4">
        <v>4.0999999999999996</v>
      </c>
      <c r="C938" s="2" t="s">
        <v>75</v>
      </c>
    </row>
    <row r="939" spans="2:10" ht="15.95" customHeight="1" x14ac:dyDescent="0.25">
      <c r="C939" s="2" t="s">
        <v>76</v>
      </c>
      <c r="H939" s="16">
        <v>3.207359242439084E-2</v>
      </c>
      <c r="J939" s="18">
        <v>74000</v>
      </c>
    </row>
    <row r="940" spans="2:10" ht="15.95" customHeight="1" x14ac:dyDescent="0.25">
      <c r="D940" s="2" t="s">
        <v>72</v>
      </c>
      <c r="F940" s="18">
        <v>0</v>
      </c>
      <c r="H940" s="16" t="s">
        <v>47</v>
      </c>
      <c r="J940" s="18" t="s">
        <v>47</v>
      </c>
    </row>
    <row r="941" spans="2:10" ht="15.95" customHeight="1" x14ac:dyDescent="0.25">
      <c r="C941" s="2" t="s">
        <v>77</v>
      </c>
      <c r="H941" s="16">
        <v>0.9679264075756091</v>
      </c>
      <c r="J941" s="18">
        <v>2233194</v>
      </c>
    </row>
    <row r="942" spans="2:10" ht="15.95" customHeight="1" x14ac:dyDescent="0.25">
      <c r="H942" s="16">
        <v>1</v>
      </c>
      <c r="J942" s="18">
        <v>2307194</v>
      </c>
    </row>
    <row r="944" spans="2:10" ht="15.95" customHeight="1" x14ac:dyDescent="0.25">
      <c r="B944" s="4">
        <v>5</v>
      </c>
      <c r="C944" s="2" t="s">
        <v>78</v>
      </c>
    </row>
    <row r="945" spans="3:10" ht="15.95" customHeight="1" x14ac:dyDescent="0.25">
      <c r="C945" s="2" t="s">
        <v>79</v>
      </c>
      <c r="H945" s="16" t="s">
        <v>47</v>
      </c>
      <c r="J945" s="18">
        <v>5560427.2599999998</v>
      </c>
    </row>
    <row r="946" spans="3:10" ht="15.95" customHeight="1" x14ac:dyDescent="0.25">
      <c r="D946" s="2" t="s">
        <v>80</v>
      </c>
      <c r="F946" s="18">
        <v>1321866.57</v>
      </c>
      <c r="H946" s="16">
        <v>0.23772751772316145</v>
      </c>
      <c r="J946" s="18" t="s">
        <v>47</v>
      </c>
    </row>
    <row r="947" spans="3:10" ht="15.95" customHeight="1" x14ac:dyDescent="0.25">
      <c r="D947" s="2" t="s">
        <v>81</v>
      </c>
      <c r="F947" s="18">
        <v>1414633</v>
      </c>
      <c r="H947" s="16">
        <v>0.25441084539967529</v>
      </c>
      <c r="J947" s="18" t="s">
        <v>47</v>
      </c>
    </row>
    <row r="948" spans="3:10" ht="15.95" customHeight="1" x14ac:dyDescent="0.25">
      <c r="D948" s="2" t="s">
        <v>121</v>
      </c>
      <c r="F948" s="18">
        <v>14560</v>
      </c>
      <c r="H948" s="16">
        <v>2.6185038161977503E-3</v>
      </c>
      <c r="J948" s="18" t="s">
        <v>47</v>
      </c>
    </row>
    <row r="949" spans="3:10" ht="15.95" customHeight="1" x14ac:dyDescent="0.25">
      <c r="D949" s="2" t="s">
        <v>84</v>
      </c>
      <c r="F949" s="18">
        <v>272750</v>
      </c>
      <c r="H949" s="16">
        <v>4.905198597994069E-2</v>
      </c>
      <c r="J949" s="18" t="s">
        <v>47</v>
      </c>
    </row>
    <row r="950" spans="3:10" ht="15.95" customHeight="1" x14ac:dyDescent="0.25">
      <c r="D950" s="2" t="s">
        <v>85</v>
      </c>
      <c r="H950" s="16">
        <v>0</v>
      </c>
    </row>
    <row r="951" spans="3:10" ht="15.95" customHeight="1" x14ac:dyDescent="0.25">
      <c r="D951" s="2" t="s">
        <v>86</v>
      </c>
      <c r="F951" s="18">
        <v>584031</v>
      </c>
      <c r="H951" s="16">
        <v>0.10503347543116678</v>
      </c>
      <c r="J951" s="18" t="s">
        <v>47</v>
      </c>
    </row>
    <row r="952" spans="3:10" ht="15.95" customHeight="1" x14ac:dyDescent="0.25">
      <c r="D952" s="2" t="s">
        <v>87</v>
      </c>
      <c r="F952" s="18">
        <v>587580</v>
      </c>
      <c r="H952" s="16">
        <v>0.10567173573636499</v>
      </c>
      <c r="J952" s="18" t="s">
        <v>47</v>
      </c>
    </row>
    <row r="953" spans="3:10" ht="15.95" customHeight="1" x14ac:dyDescent="0.25">
      <c r="D953" s="2" t="s">
        <v>88</v>
      </c>
      <c r="F953" s="18">
        <v>75600</v>
      </c>
      <c r="H953" s="16">
        <v>1.3596077507180627E-2</v>
      </c>
      <c r="J953" s="18">
        <v>0</v>
      </c>
    </row>
    <row r="954" spans="3:10" ht="15.95" customHeight="1" x14ac:dyDescent="0.25">
      <c r="D954" s="2" t="s">
        <v>85</v>
      </c>
      <c r="F954" s="18">
        <v>101662</v>
      </c>
      <c r="H954" s="16">
        <v>1.8283127401256573E-2</v>
      </c>
    </row>
    <row r="955" spans="3:10" ht="15.95" customHeight="1" x14ac:dyDescent="0.25">
      <c r="D955" s="2" t="s">
        <v>131</v>
      </c>
      <c r="F955" s="18">
        <v>72002</v>
      </c>
      <c r="H955" s="16">
        <v>1.2949004929524067E-2</v>
      </c>
    </row>
    <row r="956" spans="3:10" ht="15.95" customHeight="1" x14ac:dyDescent="0.25">
      <c r="D956" s="2" t="s">
        <v>11</v>
      </c>
      <c r="F956" s="18">
        <v>202152</v>
      </c>
      <c r="H956" s="16">
        <v>3.6355479632692832E-2</v>
      </c>
      <c r="J956" s="18">
        <v>0</v>
      </c>
    </row>
    <row r="957" spans="3:10" ht="15.95" customHeight="1" x14ac:dyDescent="0.25">
      <c r="D957" s="2" t="s">
        <v>132</v>
      </c>
      <c r="F957" s="18">
        <v>163680</v>
      </c>
      <c r="H957" s="16">
        <v>2.9436586856816469E-2</v>
      </c>
    </row>
    <row r="958" spans="3:10" ht="15.95" customHeight="1" x14ac:dyDescent="0.25">
      <c r="D958" s="2" t="s">
        <v>157</v>
      </c>
      <c r="F958" s="18">
        <v>173440</v>
      </c>
      <c r="H958" s="16">
        <v>3.1191847656685291E-2</v>
      </c>
    </row>
    <row r="959" spans="3:10" ht="15.95" customHeight="1" x14ac:dyDescent="0.25">
      <c r="D959" s="2" t="s">
        <v>89</v>
      </c>
      <c r="F959" s="18">
        <v>576470.68999999994</v>
      </c>
      <c r="H959" s="16">
        <v>0.10367381192933724</v>
      </c>
      <c r="J959" s="18" t="s">
        <v>47</v>
      </c>
    </row>
    <row r="960" spans="3:10" ht="15.95" customHeight="1" x14ac:dyDescent="0.25">
      <c r="H960" s="16">
        <v>1.0000000000000002</v>
      </c>
      <c r="J960" s="18">
        <v>5560427.2599999998</v>
      </c>
    </row>
    <row r="962" spans="2:10" ht="13.5" customHeight="1" x14ac:dyDescent="0.25"/>
    <row r="963" spans="2:10" ht="33.75" customHeight="1" x14ac:dyDescent="0.25">
      <c r="G963" s="5" t="s">
        <v>0</v>
      </c>
      <c r="H963" s="16" t="s">
        <v>1</v>
      </c>
      <c r="J963" s="72" t="s">
        <v>168</v>
      </c>
    </row>
    <row r="965" spans="2:10" ht="15.95" customHeight="1" x14ac:dyDescent="0.25">
      <c r="B965" s="4">
        <v>4</v>
      </c>
      <c r="C965" s="2" t="s">
        <v>3</v>
      </c>
    </row>
    <row r="967" spans="2:10" ht="15.95" customHeight="1" x14ac:dyDescent="0.25">
      <c r="C967" s="2" t="s">
        <v>4</v>
      </c>
      <c r="J967" s="18">
        <v>421154.98000000324</v>
      </c>
    </row>
    <row r="968" spans="2:10" ht="15.95" customHeight="1" x14ac:dyDescent="0.25">
      <c r="C968" s="2" t="s">
        <v>5</v>
      </c>
    </row>
    <row r="969" spans="2:10" ht="15.95" customHeight="1" x14ac:dyDescent="0.25">
      <c r="C969" s="2" t="s">
        <v>6</v>
      </c>
      <c r="J969" s="18">
        <v>-621473</v>
      </c>
    </row>
    <row r="971" spans="2:10" ht="15.95" customHeight="1" x14ac:dyDescent="0.25">
      <c r="J971" s="18">
        <v>-200318.01999999676</v>
      </c>
    </row>
    <row r="972" spans="2:10" ht="15.95" customHeight="1" x14ac:dyDescent="0.25">
      <c r="B972" s="4">
        <v>1</v>
      </c>
      <c r="C972" s="2" t="s">
        <v>7</v>
      </c>
    </row>
    <row r="973" spans="2:10" ht="15.95" customHeight="1" x14ac:dyDescent="0.25">
      <c r="B973" s="4" t="s">
        <v>8</v>
      </c>
      <c r="C973" s="2" t="s">
        <v>9</v>
      </c>
      <c r="H973" s="16">
        <v>0.21721968726112642</v>
      </c>
      <c r="J973" s="18">
        <v>944300.32</v>
      </c>
    </row>
    <row r="974" spans="2:10" ht="15.95" customHeight="1" x14ac:dyDescent="0.25">
      <c r="C974" s="2" t="s">
        <v>150</v>
      </c>
      <c r="H974" s="16">
        <v>8.092540514914183E-2</v>
      </c>
      <c r="J974" s="18">
        <v>351800</v>
      </c>
    </row>
    <row r="975" spans="2:10" ht="15.95" customHeight="1" x14ac:dyDescent="0.25">
      <c r="C975" s="2" t="s">
        <v>10</v>
      </c>
      <c r="G975" s="5">
        <v>1.1000000000000001</v>
      </c>
      <c r="H975" s="16">
        <v>0.70185490758973168</v>
      </c>
      <c r="J975" s="18">
        <v>3051113.01</v>
      </c>
    </row>
    <row r="976" spans="2:10" ht="15.95" customHeight="1" x14ac:dyDescent="0.25">
      <c r="C976" s="2" t="s">
        <v>12</v>
      </c>
      <c r="H976" s="16">
        <v>0</v>
      </c>
      <c r="J976" s="18">
        <v>0</v>
      </c>
    </row>
    <row r="977" spans="2:10" ht="15.95" customHeight="1" x14ac:dyDescent="0.25">
      <c r="H977" s="16">
        <v>1</v>
      </c>
      <c r="J977" s="18">
        <v>4347213.33</v>
      </c>
    </row>
    <row r="979" spans="2:10" ht="15.95" customHeight="1" x14ac:dyDescent="0.25">
      <c r="B979" s="4">
        <v>1.1000000000000001</v>
      </c>
      <c r="C979" s="2" t="s">
        <v>10</v>
      </c>
    </row>
    <row r="980" spans="2:10" ht="15.95" customHeight="1" x14ac:dyDescent="0.25">
      <c r="C980" s="2" t="s">
        <v>23</v>
      </c>
      <c r="H980" s="16">
        <v>0.23085444809531983</v>
      </c>
      <c r="J980" s="18">
        <v>704363.01</v>
      </c>
    </row>
    <row r="981" spans="2:10" ht="15.95" customHeight="1" x14ac:dyDescent="0.25">
      <c r="C981" s="2" t="s">
        <v>13</v>
      </c>
      <c r="H981" s="16">
        <v>1.3863793265395961E-2</v>
      </c>
      <c r="J981" s="18">
        <v>42300</v>
      </c>
    </row>
    <row r="982" spans="2:10" ht="15.95" customHeight="1" x14ac:dyDescent="0.25">
      <c r="C982" s="2" t="s">
        <v>14</v>
      </c>
      <c r="H982" s="16">
        <v>0.11036955986104233</v>
      </c>
      <c r="J982" s="18">
        <v>336750</v>
      </c>
    </row>
    <row r="983" spans="2:10" ht="15.95" customHeight="1" x14ac:dyDescent="0.25">
      <c r="C983" s="2" t="s">
        <v>15</v>
      </c>
      <c r="H983" s="16">
        <v>3.9395459822709096E-2</v>
      </c>
      <c r="J983" s="18">
        <v>120200</v>
      </c>
    </row>
    <row r="984" spans="2:10" ht="15.95" customHeight="1" x14ac:dyDescent="0.25">
      <c r="C984" s="2" t="s">
        <v>16</v>
      </c>
      <c r="H984" s="16">
        <v>2.4450094033062381E-2</v>
      </c>
      <c r="J984" s="18">
        <v>74600</v>
      </c>
    </row>
    <row r="985" spans="2:10" ht="15.95" customHeight="1" x14ac:dyDescent="0.25">
      <c r="C985" s="2" t="s">
        <v>17</v>
      </c>
      <c r="H985" s="16">
        <v>4.270572724541593E-2</v>
      </c>
      <c r="J985" s="18">
        <v>130300</v>
      </c>
    </row>
    <row r="986" spans="2:10" ht="15.95" customHeight="1" x14ac:dyDescent="0.25">
      <c r="C986" s="2" t="s">
        <v>18</v>
      </c>
      <c r="H986" s="16">
        <v>6.4009428480657951E-2</v>
      </c>
      <c r="J986" s="18">
        <v>195300</v>
      </c>
    </row>
    <row r="987" spans="2:10" ht="15.95" customHeight="1" x14ac:dyDescent="0.25">
      <c r="C987" s="2" t="s">
        <v>123</v>
      </c>
      <c r="H987" s="16">
        <v>3.0546230078839332E-2</v>
      </c>
      <c r="J987" s="18">
        <v>93200</v>
      </c>
    </row>
    <row r="988" spans="2:10" ht="15.95" customHeight="1" x14ac:dyDescent="0.25">
      <c r="C988" s="2" t="s">
        <v>21</v>
      </c>
      <c r="H988" s="16">
        <v>6.2469007006725072E-2</v>
      </c>
      <c r="J988" s="18">
        <v>190600</v>
      </c>
    </row>
    <row r="989" spans="2:10" ht="15.95" customHeight="1" x14ac:dyDescent="0.25">
      <c r="C989" s="2" t="s">
        <v>22</v>
      </c>
      <c r="H989" s="16">
        <v>3.041513037893015E-2</v>
      </c>
      <c r="J989" s="18">
        <v>92800</v>
      </c>
    </row>
    <row r="990" spans="2:10" ht="15.95" customHeight="1" x14ac:dyDescent="0.25">
      <c r="C990" s="2" t="s">
        <v>121</v>
      </c>
      <c r="H990" s="16">
        <v>4.6540393467759495E-3</v>
      </c>
      <c r="J990" s="18">
        <v>14200</v>
      </c>
    </row>
    <row r="991" spans="2:10" ht="15.95" customHeight="1" x14ac:dyDescent="0.25">
      <c r="C991" s="2" t="s">
        <v>159</v>
      </c>
      <c r="H991" s="16">
        <v>4.4278923644326111E-2</v>
      </c>
      <c r="J991" s="18">
        <v>135100</v>
      </c>
    </row>
    <row r="992" spans="2:10" ht="15.95" customHeight="1" x14ac:dyDescent="0.25">
      <c r="C992" s="2" t="s">
        <v>160</v>
      </c>
      <c r="H992" s="16">
        <v>0.30198815874079998</v>
      </c>
      <c r="J992" s="18">
        <v>921400</v>
      </c>
    </row>
    <row r="993" spans="2:10" ht="15.95" customHeight="1" x14ac:dyDescent="0.25">
      <c r="H993" s="16">
        <v>1</v>
      </c>
      <c r="J993" s="18">
        <v>3051113.01</v>
      </c>
    </row>
    <row r="994" spans="2:10" ht="15.95" customHeight="1" x14ac:dyDescent="0.25">
      <c r="B994" s="4">
        <v>2</v>
      </c>
      <c r="C994" s="2" t="s">
        <v>26</v>
      </c>
    </row>
    <row r="996" spans="2:10" ht="15.95" customHeight="1" x14ac:dyDescent="0.25">
      <c r="C996" s="2" t="s">
        <v>27</v>
      </c>
      <c r="H996" s="16">
        <v>0.77187706022117575</v>
      </c>
      <c r="J996" s="18">
        <v>1940420.8</v>
      </c>
    </row>
    <row r="997" spans="2:10" ht="15.95" customHeight="1" x14ac:dyDescent="0.25">
      <c r="C997" s="2" t="s">
        <v>28</v>
      </c>
      <c r="H997" s="16">
        <v>6.5568988422039821E-3</v>
      </c>
      <c r="J997" s="18">
        <v>16483.38</v>
      </c>
    </row>
    <row r="998" spans="2:10" ht="15.95" customHeight="1" x14ac:dyDescent="0.25">
      <c r="C998" s="2" t="s">
        <v>29</v>
      </c>
      <c r="G998" s="5">
        <v>2.1</v>
      </c>
      <c r="H998" s="16">
        <v>0.216947219330764</v>
      </c>
      <c r="J998" s="18">
        <v>545383.35</v>
      </c>
    </row>
    <row r="999" spans="2:10" ht="15.95" customHeight="1" x14ac:dyDescent="0.25">
      <c r="C999" s="2" t="s">
        <v>31</v>
      </c>
      <c r="H999" s="16">
        <v>4.6188216058563828E-3</v>
      </c>
      <c r="J999" s="18">
        <v>11611.25</v>
      </c>
    </row>
    <row r="1000" spans="2:10" ht="15.95" customHeight="1" x14ac:dyDescent="0.25">
      <c r="H1000" s="16">
        <v>1.0000000000000002</v>
      </c>
      <c r="J1000" s="18">
        <v>2513898.7799999998</v>
      </c>
    </row>
    <row r="1001" spans="2:10" ht="15.95" customHeight="1" x14ac:dyDescent="0.25">
      <c r="B1001" s="4">
        <v>2.1</v>
      </c>
      <c r="C1001" s="2" t="s">
        <v>32</v>
      </c>
    </row>
    <row r="1002" spans="2:10" ht="15.95" customHeight="1" x14ac:dyDescent="0.25">
      <c r="C1002" s="2" t="s">
        <v>34</v>
      </c>
      <c r="H1002" s="16">
        <v>1.9390030883781106E-2</v>
      </c>
      <c r="J1002" s="18">
        <v>10575</v>
      </c>
    </row>
    <row r="1003" spans="2:10" ht="15.95" customHeight="1" x14ac:dyDescent="0.25">
      <c r="C1003" s="2" t="s">
        <v>35</v>
      </c>
      <c r="H1003" s="16">
        <v>0.2161094576869646</v>
      </c>
      <c r="J1003" s="18">
        <v>117862.5</v>
      </c>
    </row>
    <row r="1004" spans="2:10" ht="15.95" customHeight="1" x14ac:dyDescent="0.25">
      <c r="C1004" s="2" t="s">
        <v>36</v>
      </c>
      <c r="D1004" s="2" t="s">
        <v>25</v>
      </c>
      <c r="H1004" s="16">
        <v>7.7138401823231312E-2</v>
      </c>
      <c r="J1004" s="18">
        <v>42070</v>
      </c>
    </row>
    <row r="1005" spans="2:10" ht="15.95" customHeight="1" x14ac:dyDescent="0.25">
      <c r="C1005" s="2" t="s">
        <v>37</v>
      </c>
      <c r="H1005" s="16">
        <v>4.7874582163170185E-2</v>
      </c>
      <c r="J1005" s="18">
        <v>26110</v>
      </c>
    </row>
    <row r="1006" spans="2:10" ht="15.95" customHeight="1" x14ac:dyDescent="0.25">
      <c r="C1006" s="2" t="s">
        <v>38</v>
      </c>
      <c r="H1006" s="16">
        <v>8.3620081177762401E-2</v>
      </c>
      <c r="J1006" s="18">
        <v>45605</v>
      </c>
    </row>
    <row r="1007" spans="2:10" ht="15.95" customHeight="1" x14ac:dyDescent="0.25">
      <c r="C1007" s="2" t="s">
        <v>42</v>
      </c>
      <c r="H1007" s="16">
        <v>0.10742902217311916</v>
      </c>
      <c r="J1007" s="18">
        <v>58590</v>
      </c>
    </row>
    <row r="1008" spans="2:10" ht="15.95" customHeight="1" x14ac:dyDescent="0.25">
      <c r="C1008" s="2" t="s">
        <v>124</v>
      </c>
      <c r="H1008" s="16">
        <v>3.417779438994608E-2</v>
      </c>
      <c r="J1008" s="18">
        <v>18640</v>
      </c>
    </row>
    <row r="1009" spans="2:10" ht="15.95" customHeight="1" x14ac:dyDescent="0.25">
      <c r="C1009" s="2" t="s">
        <v>43</v>
      </c>
      <c r="H1009" s="16">
        <v>0.32287536830744834</v>
      </c>
      <c r="J1009" s="18">
        <v>176090.85</v>
      </c>
    </row>
    <row r="1010" spans="2:10" ht="15.95" customHeight="1" x14ac:dyDescent="0.25">
      <c r="C1010" s="2" t="s">
        <v>39</v>
      </c>
      <c r="H1010" s="16">
        <v>7.8110195333245874E-3</v>
      </c>
      <c r="J1010" s="18">
        <v>4260</v>
      </c>
    </row>
    <row r="1011" spans="2:10" ht="19.5" customHeight="1" x14ac:dyDescent="0.25">
      <c r="C1011" s="2" t="s">
        <v>161</v>
      </c>
      <c r="H1011" s="16">
        <v>4.9543133284138584E-2</v>
      </c>
      <c r="J1011" s="18">
        <v>27020</v>
      </c>
    </row>
    <row r="1012" spans="2:10" ht="15.95" customHeight="1" x14ac:dyDescent="0.25">
      <c r="C1012" s="2" t="s">
        <v>116</v>
      </c>
      <c r="H1012" s="16">
        <v>3.4031108577113695E-2</v>
      </c>
      <c r="J1012" s="18">
        <v>18560</v>
      </c>
    </row>
    <row r="1013" spans="2:10" ht="15.95" customHeight="1" x14ac:dyDescent="0.25">
      <c r="H1013" s="16">
        <v>1.0000000000000002</v>
      </c>
      <c r="J1013" s="18">
        <v>545383.35</v>
      </c>
    </row>
    <row r="1014" spans="2:10" ht="15.95" customHeight="1" x14ac:dyDescent="0.25">
      <c r="B1014" s="4">
        <v>3</v>
      </c>
      <c r="C1014" s="2" t="s">
        <v>44</v>
      </c>
    </row>
    <row r="1015" spans="2:10" ht="18" customHeight="1" x14ac:dyDescent="0.25">
      <c r="C1015" s="2" t="s">
        <v>45</v>
      </c>
      <c r="H1015" s="16">
        <v>0.14574798443043449</v>
      </c>
      <c r="J1015" s="18">
        <v>236000</v>
      </c>
    </row>
    <row r="1016" spans="2:10" ht="15.95" customHeight="1" x14ac:dyDescent="0.25">
      <c r="D1016" s="2" t="s">
        <v>162</v>
      </c>
      <c r="F1016" s="18">
        <v>80000</v>
      </c>
    </row>
    <row r="1017" spans="2:10" ht="15.95" customHeight="1" x14ac:dyDescent="0.25">
      <c r="D1017" s="2" t="s">
        <v>48</v>
      </c>
      <c r="F1017" s="18">
        <v>25000</v>
      </c>
      <c r="H1017" s="16" t="s">
        <v>47</v>
      </c>
      <c r="J1017" s="18" t="s">
        <v>47</v>
      </c>
    </row>
    <row r="1018" spans="2:10" ht="15.95" customHeight="1" x14ac:dyDescent="0.25">
      <c r="D1018" s="2" t="s">
        <v>50</v>
      </c>
      <c r="F1018" s="18">
        <v>35000</v>
      </c>
      <c r="H1018" s="16" t="s">
        <v>47</v>
      </c>
      <c r="J1018" s="18" t="s">
        <v>47</v>
      </c>
    </row>
    <row r="1019" spans="2:10" ht="15.95" customHeight="1" x14ac:dyDescent="0.25">
      <c r="D1019" s="2" t="s">
        <v>155</v>
      </c>
      <c r="F1019" s="18">
        <v>35000</v>
      </c>
      <c r="H1019" s="16" t="s">
        <v>47</v>
      </c>
      <c r="J1019" s="18" t="s">
        <v>47</v>
      </c>
    </row>
    <row r="1020" spans="2:10" ht="15.95" customHeight="1" x14ac:dyDescent="0.25">
      <c r="D1020" s="2" t="s">
        <v>156</v>
      </c>
      <c r="F1020" s="18">
        <v>50000</v>
      </c>
    </row>
    <row r="1021" spans="2:10" ht="15.95" customHeight="1" x14ac:dyDescent="0.25">
      <c r="D1021" s="2" t="s">
        <v>52</v>
      </c>
      <c r="F1021" s="18">
        <v>11000</v>
      </c>
    </row>
    <row r="1023" spans="2:10" ht="15.95" customHeight="1" x14ac:dyDescent="0.25">
      <c r="C1023" s="2" t="s">
        <v>163</v>
      </c>
      <c r="H1023" s="16">
        <v>8.9548549755987292E-2</v>
      </c>
      <c r="J1023" s="18">
        <v>145000</v>
      </c>
    </row>
    <row r="1024" spans="2:10" ht="18" customHeight="1" x14ac:dyDescent="0.25">
      <c r="C1024" s="2" t="s">
        <v>53</v>
      </c>
      <c r="H1024" s="16">
        <v>1.8527286156411166E-2</v>
      </c>
      <c r="J1024" s="18">
        <v>30000</v>
      </c>
    </row>
    <row r="1025" spans="3:10" ht="15.95" customHeight="1" x14ac:dyDescent="0.25">
      <c r="D1025" s="2" t="s">
        <v>95</v>
      </c>
      <c r="F1025" s="18">
        <v>30000</v>
      </c>
    </row>
    <row r="1026" spans="3:10" ht="15.95" customHeight="1" x14ac:dyDescent="0.25">
      <c r="C1026" s="2" t="s">
        <v>54</v>
      </c>
      <c r="H1026" s="16">
        <v>9.1115649376717081E-2</v>
      </c>
      <c r="J1026" s="18">
        <v>147537.5</v>
      </c>
    </row>
    <row r="1027" spans="3:10" ht="17.25" customHeight="1" x14ac:dyDescent="0.25">
      <c r="C1027" s="2" t="s">
        <v>57</v>
      </c>
      <c r="H1027" s="16">
        <v>5.79657026213584E-3</v>
      </c>
      <c r="J1027" s="18">
        <v>9386</v>
      </c>
    </row>
    <row r="1028" spans="3:10" ht="20.25" customHeight="1" x14ac:dyDescent="0.25">
      <c r="C1028" s="2" t="s">
        <v>58</v>
      </c>
      <c r="H1028" s="16">
        <v>0.10545518834014642</v>
      </c>
      <c r="J1028" s="18">
        <v>170756.56</v>
      </c>
    </row>
    <row r="1029" spans="3:10" ht="15.95" customHeight="1" x14ac:dyDescent="0.25">
      <c r="D1029" s="2" t="s">
        <v>97</v>
      </c>
      <c r="F1029" s="18">
        <v>15066.56</v>
      </c>
    </row>
    <row r="1030" spans="3:10" ht="15.95" customHeight="1" x14ac:dyDescent="0.25">
      <c r="D1030" s="2" t="s">
        <v>98</v>
      </c>
      <c r="F1030" s="18">
        <v>155690</v>
      </c>
    </row>
    <row r="1031" spans="3:10" ht="15.95" customHeight="1" x14ac:dyDescent="0.25">
      <c r="C1031" s="2" t="s">
        <v>59</v>
      </c>
      <c r="H1031" s="16">
        <v>3.0878810260685275E-2</v>
      </c>
      <c r="J1031" s="18">
        <v>50000</v>
      </c>
    </row>
    <row r="1032" spans="3:10" ht="15.95" customHeight="1" x14ac:dyDescent="0.25">
      <c r="C1032" s="2" t="s">
        <v>61</v>
      </c>
      <c r="H1032" s="16">
        <v>1.1764400581739493E-2</v>
      </c>
      <c r="J1032" s="18">
        <v>19049.310000000001</v>
      </c>
    </row>
    <row r="1033" spans="3:10" ht="19.5" customHeight="1" x14ac:dyDescent="0.25">
      <c r="C1033" s="2" t="s">
        <v>62</v>
      </c>
      <c r="H1033" s="16">
        <v>6.5771865855259641E-4</v>
      </c>
      <c r="J1033" s="18">
        <v>1065</v>
      </c>
    </row>
    <row r="1034" spans="3:10" ht="19.5" customHeight="1" x14ac:dyDescent="0.25">
      <c r="C1034" s="2" t="s">
        <v>63</v>
      </c>
      <c r="H1034" s="16">
        <v>4.0142453338890854E-2</v>
      </c>
      <c r="J1034" s="18">
        <v>65000</v>
      </c>
    </row>
    <row r="1035" spans="3:10" ht="15.95" customHeight="1" x14ac:dyDescent="0.25">
      <c r="D1035" s="2" t="s">
        <v>64</v>
      </c>
      <c r="F1035" s="18">
        <v>65000</v>
      </c>
    </row>
    <row r="1036" spans="3:10" ht="15.95" customHeight="1" x14ac:dyDescent="0.25">
      <c r="C1036" s="2" t="s">
        <v>66</v>
      </c>
      <c r="H1036" s="16">
        <v>4.2859788641831159E-3</v>
      </c>
      <c r="J1036" s="18">
        <v>6940</v>
      </c>
    </row>
    <row r="1037" spans="3:10" ht="15.95" customHeight="1" x14ac:dyDescent="0.25">
      <c r="C1037" s="2" t="s">
        <v>67</v>
      </c>
      <c r="H1037" s="16">
        <v>3.9092573790027558E-4</v>
      </c>
      <c r="J1037" s="18">
        <v>633</v>
      </c>
    </row>
    <row r="1038" spans="3:10" ht="15.95" customHeight="1" x14ac:dyDescent="0.25">
      <c r="C1038" s="2" t="s">
        <v>164</v>
      </c>
      <c r="H1038" s="16">
        <v>1.8527286156411166E-2</v>
      </c>
      <c r="J1038" s="18">
        <v>30000</v>
      </c>
    </row>
    <row r="1039" spans="3:10" ht="15.95" customHeight="1" x14ac:dyDescent="0.25">
      <c r="C1039" s="2" t="s">
        <v>102</v>
      </c>
      <c r="H1039" s="16">
        <v>1.0926158222640878E-2</v>
      </c>
      <c r="J1039" s="18">
        <v>17692</v>
      </c>
    </row>
    <row r="1040" spans="3:10" ht="15.95" customHeight="1" x14ac:dyDescent="0.25">
      <c r="C1040" s="2" t="s">
        <v>129</v>
      </c>
      <c r="H1040" s="16">
        <v>8.4157109484471651E-2</v>
      </c>
      <c r="J1040" s="18">
        <v>136270</v>
      </c>
    </row>
    <row r="1041" spans="2:10" ht="18.75" customHeight="1" x14ac:dyDescent="0.25">
      <c r="C1041" s="2" t="s">
        <v>130</v>
      </c>
      <c r="H1041" s="16">
        <v>0.11659838754434759</v>
      </c>
      <c r="J1041" s="18">
        <v>188800</v>
      </c>
    </row>
    <row r="1042" spans="2:10" ht="15.95" customHeight="1" x14ac:dyDescent="0.25">
      <c r="C1042" s="2" t="s">
        <v>139</v>
      </c>
      <c r="H1042" s="16">
        <v>3.0033348435747714E-2</v>
      </c>
      <c r="J1042" s="18">
        <v>48631</v>
      </c>
    </row>
    <row r="1043" spans="2:10" ht="15.95" customHeight="1" x14ac:dyDescent="0.25">
      <c r="C1043" s="2" t="s">
        <v>165</v>
      </c>
      <c r="H1043" s="16">
        <v>0.16223726910964043</v>
      </c>
      <c r="J1043" s="18">
        <v>262700</v>
      </c>
    </row>
    <row r="1044" spans="2:10" ht="15.95" customHeight="1" x14ac:dyDescent="0.25">
      <c r="C1044" s="2" t="s">
        <v>166</v>
      </c>
      <c r="H1044" s="16">
        <v>2.942935890704871E-2</v>
      </c>
      <c r="J1044" s="18">
        <v>47653</v>
      </c>
    </row>
    <row r="1045" spans="2:10" ht="15.95" customHeight="1" x14ac:dyDescent="0.25">
      <c r="C1045" s="2" t="s">
        <v>147</v>
      </c>
      <c r="H1045" s="16">
        <v>3.7795663759078776E-3</v>
      </c>
      <c r="J1045" s="18">
        <v>6120</v>
      </c>
    </row>
    <row r="1046" spans="2:10" ht="15.95" customHeight="1" x14ac:dyDescent="0.25">
      <c r="H1046" s="16">
        <v>0.99999999999999978</v>
      </c>
      <c r="J1046" s="18">
        <v>1619233.37</v>
      </c>
    </row>
    <row r="1049" spans="2:10" ht="15.95" customHeight="1" x14ac:dyDescent="0.25">
      <c r="B1049" s="4">
        <v>4</v>
      </c>
      <c r="C1049" s="2" t="s">
        <v>70</v>
      </c>
    </row>
    <row r="1050" spans="2:10" ht="15.95" customHeight="1" x14ac:dyDescent="0.25">
      <c r="C1050" s="2" t="s">
        <v>71</v>
      </c>
      <c r="J1050" s="18">
        <v>2249870</v>
      </c>
    </row>
    <row r="1051" spans="2:10" ht="15.95" customHeight="1" x14ac:dyDescent="0.25">
      <c r="D1051" s="2" t="s">
        <v>73</v>
      </c>
      <c r="F1051" s="18">
        <v>2189870</v>
      </c>
      <c r="H1051" s="16">
        <v>0.97333179250356683</v>
      </c>
    </row>
    <row r="1052" spans="2:10" ht="15.95" customHeight="1" x14ac:dyDescent="0.25">
      <c r="D1052" s="2" t="s">
        <v>72</v>
      </c>
      <c r="F1052" s="18">
        <v>60000</v>
      </c>
      <c r="H1052" s="16">
        <v>2.6668207496433127E-2</v>
      </c>
      <c r="J1052" s="18" t="s">
        <v>47</v>
      </c>
    </row>
    <row r="1053" spans="2:10" ht="15.95" customHeight="1" x14ac:dyDescent="0.25">
      <c r="D1053" s="2" t="s">
        <v>74</v>
      </c>
      <c r="F1053" s="18">
        <v>0</v>
      </c>
      <c r="H1053" s="16">
        <v>0</v>
      </c>
    </row>
    <row r="1054" spans="2:10" ht="15.95" customHeight="1" x14ac:dyDescent="0.25">
      <c r="H1054" s="16">
        <v>1</v>
      </c>
      <c r="J1054" s="18">
        <v>2249870</v>
      </c>
    </row>
    <row r="1056" spans="2:10" ht="15.95" customHeight="1" x14ac:dyDescent="0.25">
      <c r="B1056" s="4">
        <v>4.0999999999999996</v>
      </c>
      <c r="C1056" s="2" t="s">
        <v>75</v>
      </c>
    </row>
    <row r="1057" spans="2:10" ht="15.95" customHeight="1" x14ac:dyDescent="0.25">
      <c r="C1057" s="2" t="s">
        <v>76</v>
      </c>
      <c r="H1057" s="16">
        <v>2.9549877150731315E-2</v>
      </c>
      <c r="J1057" s="18">
        <v>68000</v>
      </c>
    </row>
    <row r="1058" spans="2:10" ht="15.95" customHeight="1" x14ac:dyDescent="0.25">
      <c r="D1058" s="2" t="s">
        <v>72</v>
      </c>
      <c r="F1058" s="18">
        <v>0</v>
      </c>
      <c r="H1058" s="16" t="s">
        <v>47</v>
      </c>
      <c r="J1058" s="18" t="s">
        <v>47</v>
      </c>
    </row>
    <row r="1059" spans="2:10" ht="15.95" customHeight="1" x14ac:dyDescent="0.25">
      <c r="C1059" s="2" t="s">
        <v>77</v>
      </c>
      <c r="H1059" s="16">
        <v>0.97045012284926868</v>
      </c>
      <c r="J1059" s="18">
        <v>2233194</v>
      </c>
    </row>
    <row r="1060" spans="2:10" ht="15.95" customHeight="1" x14ac:dyDescent="0.25">
      <c r="H1060" s="16">
        <v>1</v>
      </c>
      <c r="J1060" s="18">
        <v>2301194</v>
      </c>
    </row>
    <row r="1062" spans="2:10" ht="15.95" customHeight="1" x14ac:dyDescent="0.25">
      <c r="B1062" s="4">
        <v>5</v>
      </c>
      <c r="C1062" s="2" t="s">
        <v>78</v>
      </c>
    </row>
    <row r="1063" spans="2:10" ht="15.95" customHeight="1" x14ac:dyDescent="0.25">
      <c r="C1063" s="2" t="s">
        <v>79</v>
      </c>
      <c r="H1063" s="16" t="s">
        <v>47</v>
      </c>
      <c r="J1063" s="18">
        <v>5264884.8899999997</v>
      </c>
    </row>
    <row r="1064" spans="2:10" ht="15.95" customHeight="1" x14ac:dyDescent="0.25">
      <c r="D1064" s="2" t="s">
        <v>80</v>
      </c>
      <c r="F1064" s="18">
        <v>1347835</v>
      </c>
      <c r="H1064" s="16">
        <v>0.25600464742544449</v>
      </c>
      <c r="J1064" s="18" t="s">
        <v>47</v>
      </c>
    </row>
    <row r="1065" spans="2:10" ht="15.95" customHeight="1" x14ac:dyDescent="0.25">
      <c r="D1065" s="2" t="s">
        <v>81</v>
      </c>
      <c r="F1065" s="18">
        <v>1376574.89</v>
      </c>
      <c r="H1065" s="16">
        <v>0.26146343533827954</v>
      </c>
      <c r="J1065" s="18" t="s">
        <v>47</v>
      </c>
    </row>
    <row r="1066" spans="2:10" ht="15.95" customHeight="1" x14ac:dyDescent="0.25">
      <c r="D1066" s="2" t="s">
        <v>121</v>
      </c>
      <c r="F1066" s="18">
        <v>12600</v>
      </c>
      <c r="H1066" s="16">
        <v>2.3932147166089326E-3</v>
      </c>
      <c r="J1066" s="18" t="s">
        <v>47</v>
      </c>
    </row>
    <row r="1067" spans="2:10" ht="15.95" customHeight="1" x14ac:dyDescent="0.25">
      <c r="D1067" s="2" t="s">
        <v>84</v>
      </c>
      <c r="F1067" s="18">
        <v>304475</v>
      </c>
      <c r="H1067" s="16">
        <v>5.7831273876151168E-2</v>
      </c>
      <c r="J1067" s="18" t="s">
        <v>47</v>
      </c>
    </row>
    <row r="1068" spans="2:10" ht="15.95" customHeight="1" x14ac:dyDescent="0.25">
      <c r="D1068" s="2" t="s">
        <v>85</v>
      </c>
      <c r="H1068" s="16">
        <v>0</v>
      </c>
    </row>
    <row r="1069" spans="2:10" ht="15.95" customHeight="1" x14ac:dyDescent="0.25">
      <c r="D1069" s="2" t="s">
        <v>87</v>
      </c>
      <c r="F1069" s="18">
        <v>951113</v>
      </c>
      <c r="H1069" s="16">
        <v>0.18065219275857711</v>
      </c>
      <c r="J1069" s="18" t="s">
        <v>47</v>
      </c>
    </row>
    <row r="1070" spans="2:10" ht="15.95" customHeight="1" x14ac:dyDescent="0.25">
      <c r="D1070" s="2" t="s">
        <v>88</v>
      </c>
      <c r="F1070" s="18">
        <v>74240</v>
      </c>
      <c r="H1070" s="16">
        <v>1.4100973060400568E-2</v>
      </c>
      <c r="J1070" s="18">
        <v>0</v>
      </c>
    </row>
    <row r="1071" spans="2:10" ht="15.95" customHeight="1" x14ac:dyDescent="0.25">
      <c r="D1071" s="2" t="s">
        <v>85</v>
      </c>
      <c r="F1071" s="18">
        <v>101662</v>
      </c>
      <c r="H1071" s="16">
        <v>1.9309444009515658E-2</v>
      </c>
    </row>
    <row r="1072" spans="2:10" ht="15.95" customHeight="1" x14ac:dyDescent="0.25">
      <c r="D1072" s="2" t="s">
        <v>131</v>
      </c>
      <c r="F1072" s="18">
        <v>72002</v>
      </c>
      <c r="H1072" s="16">
        <v>1.36758925416886E-2</v>
      </c>
    </row>
    <row r="1073" spans="2:10" ht="15.95" customHeight="1" x14ac:dyDescent="0.25">
      <c r="D1073" s="2" t="s">
        <v>167</v>
      </c>
      <c r="F1073" s="18">
        <v>47300</v>
      </c>
      <c r="H1073" s="16">
        <v>8.9840520710795634E-3</v>
      </c>
      <c r="J1073" s="18">
        <v>0</v>
      </c>
    </row>
    <row r="1074" spans="2:10" ht="15.95" customHeight="1" x14ac:dyDescent="0.25">
      <c r="D1074" s="2" t="s">
        <v>132</v>
      </c>
      <c r="F1074" s="18">
        <v>163040</v>
      </c>
      <c r="H1074" s="16">
        <v>3.0967438682215902E-2</v>
      </c>
    </row>
    <row r="1075" spans="2:10" ht="18.75" customHeight="1" x14ac:dyDescent="0.25">
      <c r="D1075" s="2" t="s">
        <v>157</v>
      </c>
      <c r="F1075" s="18">
        <v>108080</v>
      </c>
      <c r="H1075" s="16">
        <v>2.0528464013578843E-2</v>
      </c>
    </row>
    <row r="1076" spans="2:10" ht="18.75" customHeight="1" x14ac:dyDescent="0.25">
      <c r="D1076" s="2" t="s">
        <v>89</v>
      </c>
      <c r="F1076" s="18">
        <v>705963</v>
      </c>
      <c r="H1076" s="16">
        <v>0.13408897150645968</v>
      </c>
      <c r="J1076" s="18" t="s">
        <v>47</v>
      </c>
    </row>
    <row r="1077" spans="2:10" ht="15.95" customHeight="1" x14ac:dyDescent="0.25">
      <c r="H1077" s="16">
        <v>1</v>
      </c>
      <c r="J1077" s="18">
        <v>5264884.8899999997</v>
      </c>
    </row>
    <row r="1080" spans="2:10" ht="32.25" customHeight="1" x14ac:dyDescent="0.25">
      <c r="G1080" s="5" t="s">
        <v>0</v>
      </c>
      <c r="H1080" s="16" t="s">
        <v>1</v>
      </c>
      <c r="J1080" s="72" t="s">
        <v>172</v>
      </c>
    </row>
    <row r="1082" spans="2:10" ht="15.95" customHeight="1" x14ac:dyDescent="0.25">
      <c r="B1082" s="4">
        <v>4</v>
      </c>
      <c r="C1082" s="2" t="s">
        <v>3</v>
      </c>
    </row>
    <row r="1084" spans="2:10" ht="15.95" customHeight="1" x14ac:dyDescent="0.25">
      <c r="C1084" s="2" t="s">
        <v>4</v>
      </c>
      <c r="J1084" s="18">
        <v>421154.98000000324</v>
      </c>
    </row>
    <row r="1085" spans="2:10" ht="15.95" customHeight="1" x14ac:dyDescent="0.25">
      <c r="C1085" s="2" t="s">
        <v>5</v>
      </c>
    </row>
    <row r="1086" spans="2:10" ht="15.95" customHeight="1" x14ac:dyDescent="0.25">
      <c r="C1086" s="2" t="s">
        <v>6</v>
      </c>
      <c r="J1086" s="18">
        <v>-621473</v>
      </c>
    </row>
    <row r="1088" spans="2:10" ht="15.95" customHeight="1" x14ac:dyDescent="0.25">
      <c r="J1088" s="18">
        <v>-200318.01999999676</v>
      </c>
    </row>
    <row r="1089" spans="2:10" ht="15.95" customHeight="1" x14ac:dyDescent="0.25">
      <c r="B1089" s="4">
        <v>1</v>
      </c>
      <c r="C1089" s="2" t="s">
        <v>7</v>
      </c>
    </row>
    <row r="1090" spans="2:10" ht="15.95" customHeight="1" x14ac:dyDescent="0.25">
      <c r="B1090" s="4" t="s">
        <v>8</v>
      </c>
      <c r="C1090" s="2" t="s">
        <v>9</v>
      </c>
      <c r="H1090" s="16">
        <v>0.36450632277252271</v>
      </c>
      <c r="J1090" s="18">
        <v>893522</v>
      </c>
    </row>
    <row r="1091" spans="2:10" ht="15.95" customHeight="1" x14ac:dyDescent="0.25">
      <c r="C1091" s="2" t="s">
        <v>150</v>
      </c>
      <c r="H1091" s="16">
        <v>9.0182395900750625E-2</v>
      </c>
      <c r="J1091" s="18">
        <v>221066</v>
      </c>
    </row>
    <row r="1092" spans="2:10" ht="15.95" customHeight="1" x14ac:dyDescent="0.25">
      <c r="C1092" s="2" t="s">
        <v>10</v>
      </c>
      <c r="G1092" s="5">
        <v>1.1000000000000001</v>
      </c>
      <c r="H1092" s="16">
        <v>0.54531128132672657</v>
      </c>
      <c r="J1092" s="18">
        <v>1336732.99</v>
      </c>
    </row>
    <row r="1093" spans="2:10" ht="15.95" customHeight="1" x14ac:dyDescent="0.25">
      <c r="C1093" s="2" t="s">
        <v>12</v>
      </c>
      <c r="H1093" s="16">
        <v>0</v>
      </c>
      <c r="J1093" s="18">
        <v>0</v>
      </c>
    </row>
    <row r="1094" spans="2:10" ht="15.95" customHeight="1" x14ac:dyDescent="0.25">
      <c r="H1094" s="16">
        <v>0.99999999999999989</v>
      </c>
      <c r="J1094" s="18">
        <v>2451320.9900000002</v>
      </c>
    </row>
    <row r="1096" spans="2:10" ht="15.95" customHeight="1" x14ac:dyDescent="0.25">
      <c r="B1096" s="4">
        <v>1.1000000000000001</v>
      </c>
      <c r="C1096" s="2" t="s">
        <v>10</v>
      </c>
    </row>
    <row r="1097" spans="2:10" ht="15.95" customHeight="1" x14ac:dyDescent="0.25">
      <c r="C1097" s="2" t="s">
        <v>23</v>
      </c>
      <c r="H1097" s="16">
        <v>0.24190544590359814</v>
      </c>
      <c r="J1097" s="18">
        <v>323362.99</v>
      </c>
    </row>
    <row r="1098" spans="2:10" ht="15.95" customHeight="1" x14ac:dyDescent="0.25">
      <c r="C1098" s="2" t="s">
        <v>13</v>
      </c>
      <c r="H1098" s="16">
        <v>3.9798524011889616E-2</v>
      </c>
      <c r="J1098" s="18">
        <v>53200</v>
      </c>
    </row>
    <row r="1099" spans="2:10" ht="15.95" customHeight="1" x14ac:dyDescent="0.25">
      <c r="C1099" s="2" t="s">
        <v>14</v>
      </c>
      <c r="H1099" s="16">
        <v>0.18216053753562259</v>
      </c>
      <c r="J1099" s="18">
        <v>243500</v>
      </c>
    </row>
    <row r="1100" spans="2:10" ht="15.95" customHeight="1" x14ac:dyDescent="0.25">
      <c r="C1100" s="2" t="s">
        <v>15</v>
      </c>
      <c r="H1100" s="16">
        <v>2.9437442102779255E-2</v>
      </c>
      <c r="J1100" s="18">
        <v>39350</v>
      </c>
    </row>
    <row r="1101" spans="2:10" ht="15.95" customHeight="1" x14ac:dyDescent="0.25">
      <c r="C1101" s="2" t="s">
        <v>16</v>
      </c>
      <c r="H1101" s="16">
        <v>4.1444327636441444E-2</v>
      </c>
      <c r="J1101" s="18">
        <v>55400</v>
      </c>
    </row>
    <row r="1102" spans="2:10" ht="15.95" customHeight="1" x14ac:dyDescent="0.25">
      <c r="C1102" s="2" t="s">
        <v>17</v>
      </c>
      <c r="H1102" s="16">
        <v>0.10480776718168675</v>
      </c>
      <c r="J1102" s="18">
        <v>140100</v>
      </c>
    </row>
    <row r="1103" spans="2:10" ht="15.95" customHeight="1" x14ac:dyDescent="0.25">
      <c r="C1103" s="2" t="s">
        <v>18</v>
      </c>
      <c r="H1103" s="16">
        <v>0.15838615608641485</v>
      </c>
      <c r="J1103" s="18">
        <v>211720</v>
      </c>
    </row>
    <row r="1104" spans="2:10" ht="15.95" customHeight="1" x14ac:dyDescent="0.25">
      <c r="C1104" s="2" t="s">
        <v>123</v>
      </c>
      <c r="H1104" s="16">
        <v>7.2864215014249029E-2</v>
      </c>
      <c r="J1104" s="18">
        <v>97400</v>
      </c>
    </row>
    <row r="1105" spans="2:10" ht="15.95" customHeight="1" x14ac:dyDescent="0.25">
      <c r="C1105" s="2" t="s">
        <v>22</v>
      </c>
      <c r="H1105" s="16">
        <v>5.6630606535715111E-2</v>
      </c>
      <c r="J1105" s="18">
        <v>75700</v>
      </c>
    </row>
    <row r="1106" spans="2:10" ht="15.95" customHeight="1" x14ac:dyDescent="0.25">
      <c r="C1106" s="2" t="s">
        <v>121</v>
      </c>
      <c r="H1106" s="16">
        <v>8.8274921680507046E-3</v>
      </c>
      <c r="J1106" s="18">
        <v>11800</v>
      </c>
    </row>
    <row r="1107" spans="2:10" ht="18.75" customHeight="1" x14ac:dyDescent="0.25">
      <c r="C1107" s="2" t="s">
        <v>159</v>
      </c>
      <c r="H1107" s="16">
        <v>6.3737485823552542E-2</v>
      </c>
      <c r="J1107" s="18">
        <v>85200</v>
      </c>
    </row>
    <row r="1108" spans="2:10" ht="15.95" customHeight="1" x14ac:dyDescent="0.25">
      <c r="H1108" s="16">
        <v>0.99999999999999989</v>
      </c>
      <c r="J1108" s="18">
        <v>1336732.99</v>
      </c>
    </row>
    <row r="1109" spans="2:10" ht="15.95" customHeight="1" x14ac:dyDescent="0.25">
      <c r="B1109" s="4">
        <v>2</v>
      </c>
      <c r="C1109" s="2" t="s">
        <v>26</v>
      </c>
    </row>
    <row r="1111" spans="2:10" ht="15.95" customHeight="1" x14ac:dyDescent="0.25">
      <c r="C1111" s="2" t="s">
        <v>27</v>
      </c>
      <c r="H1111" s="16">
        <v>0.70156555109442464</v>
      </c>
      <c r="J1111" s="18">
        <v>945559.4</v>
      </c>
    </row>
    <row r="1112" spans="2:10" ht="15.95" customHeight="1" x14ac:dyDescent="0.25">
      <c r="C1112" s="2" t="s">
        <v>28</v>
      </c>
      <c r="H1112" s="16">
        <v>8.8353050303682755E-3</v>
      </c>
      <c r="J1112" s="18">
        <v>11908.09</v>
      </c>
    </row>
    <row r="1113" spans="2:10" ht="15.95" customHeight="1" x14ac:dyDescent="0.25">
      <c r="C1113" s="2" t="s">
        <v>29</v>
      </c>
      <c r="G1113" s="5">
        <v>2.1</v>
      </c>
      <c r="H1113" s="16">
        <v>0.28215136745641639</v>
      </c>
      <c r="J1113" s="18">
        <v>380279.33</v>
      </c>
    </row>
    <row r="1114" spans="2:10" ht="15.95" customHeight="1" x14ac:dyDescent="0.25">
      <c r="C1114" s="2" t="s">
        <v>31</v>
      </c>
      <c r="H1114" s="16">
        <v>7.4477764187906494E-3</v>
      </c>
      <c r="J1114" s="18">
        <v>10038</v>
      </c>
    </row>
    <row r="1115" spans="2:10" ht="15.95" customHeight="1" x14ac:dyDescent="0.25">
      <c r="H1115" s="16">
        <v>0.99999999999999989</v>
      </c>
      <c r="J1115" s="18">
        <v>1347784.82</v>
      </c>
    </row>
    <row r="1116" spans="2:10" ht="15.95" customHeight="1" x14ac:dyDescent="0.25">
      <c r="B1116" s="4">
        <v>2.1</v>
      </c>
      <c r="C1116" s="2" t="s">
        <v>32</v>
      </c>
    </row>
    <row r="1117" spans="2:10" ht="15.95" customHeight="1" x14ac:dyDescent="0.25">
      <c r="C1117" s="2" t="s">
        <v>34</v>
      </c>
      <c r="H1117" s="16">
        <v>3.4974291134887606E-2</v>
      </c>
      <c r="J1117" s="18">
        <v>13300</v>
      </c>
    </row>
    <row r="1118" spans="2:10" ht="15.95" customHeight="1" x14ac:dyDescent="0.25">
      <c r="C1118" s="2" t="s">
        <v>35</v>
      </c>
      <c r="H1118" s="16">
        <v>0.22411157608802981</v>
      </c>
      <c r="J1118" s="18">
        <v>85225</v>
      </c>
    </row>
    <row r="1119" spans="2:10" ht="15.95" customHeight="1" x14ac:dyDescent="0.25">
      <c r="C1119" s="2" t="s">
        <v>36</v>
      </c>
      <c r="D1119" s="2" t="s">
        <v>25</v>
      </c>
      <c r="H1119" s="16">
        <v>3.6216798846258613E-2</v>
      </c>
      <c r="J1119" s="18">
        <v>13772.5</v>
      </c>
    </row>
    <row r="1120" spans="2:10" ht="15.95" customHeight="1" x14ac:dyDescent="0.25">
      <c r="C1120" s="2" t="s">
        <v>37</v>
      </c>
      <c r="H1120" s="16">
        <v>5.0988834970336148E-2</v>
      </c>
      <c r="J1120" s="18">
        <v>19390</v>
      </c>
    </row>
    <row r="1121" spans="2:10" ht="15.95" customHeight="1" x14ac:dyDescent="0.25">
      <c r="C1121" s="2" t="s">
        <v>38</v>
      </c>
      <c r="H1121" s="16">
        <v>0.12894468915783563</v>
      </c>
      <c r="J1121" s="18">
        <v>49035</v>
      </c>
    </row>
    <row r="1122" spans="2:10" ht="15.95" customHeight="1" x14ac:dyDescent="0.25">
      <c r="C1122" s="2" t="s">
        <v>42</v>
      </c>
      <c r="H1122" s="16">
        <v>0.16702459215966325</v>
      </c>
      <c r="J1122" s="18">
        <v>63516</v>
      </c>
    </row>
    <row r="1123" spans="2:10" ht="15.95" customHeight="1" x14ac:dyDescent="0.25">
      <c r="C1123" s="2" t="s">
        <v>124</v>
      </c>
      <c r="H1123" s="16">
        <v>5.1225503105835388E-2</v>
      </c>
      <c r="J1123" s="18">
        <v>19480</v>
      </c>
    </row>
    <row r="1124" spans="2:10" ht="15.95" customHeight="1" x14ac:dyDescent="0.25">
      <c r="C1124" s="2" t="s">
        <v>43</v>
      </c>
      <c r="H1124" s="16">
        <v>0.21258276120345537</v>
      </c>
      <c r="J1124" s="18">
        <v>80840.83</v>
      </c>
    </row>
    <row r="1125" spans="2:10" ht="15.95" customHeight="1" x14ac:dyDescent="0.25">
      <c r="C1125" s="2" t="s">
        <v>39</v>
      </c>
      <c r="H1125" s="16">
        <v>9.3089466629700853E-3</v>
      </c>
      <c r="J1125" s="18">
        <v>3540</v>
      </c>
    </row>
    <row r="1126" spans="2:10" ht="15.95" customHeight="1" x14ac:dyDescent="0.25">
      <c r="C1126" s="2" t="s">
        <v>161</v>
      </c>
      <c r="H1126" s="16">
        <v>4.4809166987856003E-2</v>
      </c>
      <c r="J1126" s="18">
        <v>17040</v>
      </c>
    </row>
    <row r="1127" spans="2:10" ht="15.95" customHeight="1" x14ac:dyDescent="0.25">
      <c r="C1127" s="2" t="s">
        <v>116</v>
      </c>
      <c r="H1127" s="16">
        <v>3.981283968287206E-2</v>
      </c>
      <c r="J1127" s="18">
        <v>15140</v>
      </c>
    </row>
    <row r="1128" spans="2:10" ht="15.95" customHeight="1" x14ac:dyDescent="0.25">
      <c r="H1128" s="16">
        <v>0.99999999999999989</v>
      </c>
      <c r="J1128" s="18">
        <v>380279.33</v>
      </c>
    </row>
    <row r="1129" spans="2:10" ht="15.95" customHeight="1" x14ac:dyDescent="0.25">
      <c r="B1129" s="4">
        <v>3</v>
      </c>
      <c r="C1129" s="2" t="s">
        <v>44</v>
      </c>
    </row>
    <row r="1130" spans="2:10" ht="15.95" customHeight="1" x14ac:dyDescent="0.25">
      <c r="C1130" s="2" t="s">
        <v>45</v>
      </c>
      <c r="H1130" s="16">
        <v>0.17929159407022216</v>
      </c>
      <c r="J1130" s="18">
        <v>166000</v>
      </c>
    </row>
    <row r="1131" spans="2:10" ht="15.95" customHeight="1" x14ac:dyDescent="0.25">
      <c r="D1131" s="2" t="s">
        <v>48</v>
      </c>
      <c r="F1131" s="18">
        <v>28000</v>
      </c>
      <c r="H1131" s="16" t="s">
        <v>47</v>
      </c>
      <c r="J1131" s="18" t="s">
        <v>47</v>
      </c>
    </row>
    <row r="1132" spans="2:10" ht="15.95" customHeight="1" x14ac:dyDescent="0.25">
      <c r="D1132" s="2" t="s">
        <v>50</v>
      </c>
      <c r="F1132" s="18">
        <v>38000</v>
      </c>
      <c r="H1132" s="16" t="s">
        <v>47</v>
      </c>
      <c r="J1132" s="18" t="s">
        <v>47</v>
      </c>
    </row>
    <row r="1133" spans="2:10" ht="15.95" customHeight="1" x14ac:dyDescent="0.25">
      <c r="D1133" s="2" t="s">
        <v>155</v>
      </c>
      <c r="F1133" s="18">
        <v>38000</v>
      </c>
      <c r="H1133" s="16" t="s">
        <v>47</v>
      </c>
      <c r="J1133" s="18" t="s">
        <v>47</v>
      </c>
    </row>
    <row r="1134" spans="2:10" ht="15.95" customHeight="1" x14ac:dyDescent="0.25">
      <c r="D1134" s="2" t="s">
        <v>156</v>
      </c>
      <c r="F1134" s="18">
        <v>50000</v>
      </c>
    </row>
    <row r="1135" spans="2:10" ht="15.95" customHeight="1" x14ac:dyDescent="0.25">
      <c r="D1135" s="2" t="s">
        <v>52</v>
      </c>
      <c r="F1135" s="18">
        <v>12000</v>
      </c>
    </row>
    <row r="1137" spans="3:10" ht="15.95" customHeight="1" x14ac:dyDescent="0.25">
      <c r="C1137" s="2" t="s">
        <v>53</v>
      </c>
      <c r="H1137" s="16">
        <v>4.3202793751860764E-2</v>
      </c>
      <c r="J1137" s="18">
        <v>40000</v>
      </c>
    </row>
    <row r="1138" spans="3:10" ht="15.95" customHeight="1" x14ac:dyDescent="0.25">
      <c r="D1138" s="2" t="s">
        <v>95</v>
      </c>
      <c r="F1138" s="18">
        <v>40000</v>
      </c>
    </row>
    <row r="1139" spans="3:10" ht="15.95" customHeight="1" x14ac:dyDescent="0.25">
      <c r="C1139" s="2" t="s">
        <v>54</v>
      </c>
      <c r="H1139" s="16">
        <v>5.3355450283548038E-2</v>
      </c>
      <c r="J1139" s="18">
        <v>49400</v>
      </c>
    </row>
    <row r="1140" spans="3:10" ht="15.95" customHeight="1" x14ac:dyDescent="0.25">
      <c r="C1140" s="2" t="s">
        <v>57</v>
      </c>
      <c r="H1140" s="16">
        <v>3.9390147203259051E-3</v>
      </c>
      <c r="J1140" s="18">
        <v>3647</v>
      </c>
    </row>
    <row r="1141" spans="3:10" ht="15.95" customHeight="1" x14ac:dyDescent="0.25">
      <c r="C1141" s="2" t="s">
        <v>58</v>
      </c>
      <c r="H1141" s="16">
        <v>0.29344253415491367</v>
      </c>
      <c r="J1141" s="18">
        <v>271688.48</v>
      </c>
    </row>
    <row r="1142" spans="3:10" ht="15.95" customHeight="1" x14ac:dyDescent="0.25">
      <c r="D1142" s="2" t="s">
        <v>97</v>
      </c>
      <c r="F1142" s="18">
        <v>30247.56</v>
      </c>
    </row>
    <row r="1143" spans="3:10" ht="15.95" customHeight="1" x14ac:dyDescent="0.25">
      <c r="D1143" s="2" t="s">
        <v>169</v>
      </c>
      <c r="F1143" s="18">
        <v>40000</v>
      </c>
    </row>
    <row r="1144" spans="3:10" ht="15.95" customHeight="1" x14ac:dyDescent="0.25">
      <c r="D1144" s="2" t="s">
        <v>98</v>
      </c>
      <c r="F1144" s="18">
        <v>201440.92</v>
      </c>
    </row>
    <row r="1145" spans="3:10" ht="15.95" customHeight="1" x14ac:dyDescent="0.25">
      <c r="C1145" s="2" t="s">
        <v>61</v>
      </c>
      <c r="H1145" s="16">
        <v>2.5895732973468463E-2</v>
      </c>
      <c r="J1145" s="18">
        <v>23975.98</v>
      </c>
    </row>
    <row r="1146" spans="3:10" ht="15.95" customHeight="1" x14ac:dyDescent="0.25">
      <c r="C1146" s="2" t="s">
        <v>62</v>
      </c>
      <c r="H1146" s="16">
        <v>1.4364928922493702E-3</v>
      </c>
      <c r="J1146" s="18">
        <v>1330</v>
      </c>
    </row>
    <row r="1147" spans="3:10" ht="15.95" customHeight="1" x14ac:dyDescent="0.25">
      <c r="C1147" s="2" t="s">
        <v>63</v>
      </c>
      <c r="H1147" s="16">
        <v>7.0204539846773731E-2</v>
      </c>
      <c r="J1147" s="18">
        <v>65000</v>
      </c>
    </row>
    <row r="1148" spans="3:10" ht="15.95" customHeight="1" x14ac:dyDescent="0.25">
      <c r="D1148" s="2" t="s">
        <v>64</v>
      </c>
      <c r="F1148" s="18">
        <v>65000</v>
      </c>
    </row>
    <row r="1149" spans="3:10" ht="15.95" customHeight="1" x14ac:dyDescent="0.25">
      <c r="C1149" s="2" t="s">
        <v>66</v>
      </c>
      <c r="H1149" s="16">
        <v>4.4531279659730484E-3</v>
      </c>
      <c r="J1149" s="18">
        <v>4123</v>
      </c>
    </row>
    <row r="1150" spans="3:10" ht="15.95" customHeight="1" x14ac:dyDescent="0.25">
      <c r="C1150" s="2" t="s">
        <v>67</v>
      </c>
      <c r="H1150" s="16">
        <v>9.7206285941686704E-6</v>
      </c>
      <c r="J1150" s="18">
        <v>9</v>
      </c>
    </row>
    <row r="1151" spans="3:10" ht="15.95" customHeight="1" x14ac:dyDescent="0.25">
      <c r="C1151" s="2" t="s">
        <v>170</v>
      </c>
      <c r="H1151" s="16">
        <v>0.16201047656947784</v>
      </c>
      <c r="J1151" s="18">
        <v>150000</v>
      </c>
    </row>
    <row r="1152" spans="3:10" ht="15.95" customHeight="1" x14ac:dyDescent="0.25">
      <c r="C1152" s="2" t="s">
        <v>102</v>
      </c>
      <c r="H1152" s="16">
        <v>2.520018959546038E-2</v>
      </c>
      <c r="J1152" s="18">
        <v>23332</v>
      </c>
    </row>
    <row r="1153" spans="2:10" ht="15.95" customHeight="1" x14ac:dyDescent="0.25">
      <c r="C1153" s="2" t="s">
        <v>171</v>
      </c>
      <c r="H1153" s="16">
        <v>8.100523828473892E-2</v>
      </c>
      <c r="J1153" s="18">
        <v>75000</v>
      </c>
    </row>
    <row r="1154" spans="2:10" ht="20.25" customHeight="1" x14ac:dyDescent="0.25">
      <c r="C1154" s="2" t="s">
        <v>130</v>
      </c>
      <c r="H1154" s="16">
        <v>2.7450947142947948E-3</v>
      </c>
      <c r="J1154" s="18">
        <v>2541.59</v>
      </c>
    </row>
    <row r="1155" spans="2:10" ht="15.95" customHeight="1" x14ac:dyDescent="0.25">
      <c r="C1155" s="2" t="s">
        <v>139</v>
      </c>
      <c r="H1155" s="16">
        <v>2.3566043921796249E-2</v>
      </c>
      <c r="J1155" s="18">
        <v>21819</v>
      </c>
    </row>
    <row r="1156" spans="2:10" ht="18" customHeight="1" x14ac:dyDescent="0.25">
      <c r="C1156" s="2" t="s">
        <v>165</v>
      </c>
      <c r="H1156" s="16">
        <v>3.0241955626302532E-2</v>
      </c>
      <c r="J1156" s="18">
        <v>28000</v>
      </c>
    </row>
    <row r="1157" spans="2:10" ht="15.95" customHeight="1" x14ac:dyDescent="0.25">
      <c r="H1157" s="16">
        <v>1.0000000000000002</v>
      </c>
      <c r="J1157" s="18">
        <v>925866.04999999993</v>
      </c>
    </row>
    <row r="1160" spans="2:10" ht="15.95" customHeight="1" x14ac:dyDescent="0.25">
      <c r="B1160" s="4">
        <v>4</v>
      </c>
      <c r="C1160" s="2" t="s">
        <v>70</v>
      </c>
    </row>
    <row r="1161" spans="2:10" ht="15.95" customHeight="1" x14ac:dyDescent="0.25">
      <c r="C1161" s="2" t="s">
        <v>71</v>
      </c>
      <c r="J1161" s="18">
        <v>2029870</v>
      </c>
    </row>
    <row r="1162" spans="2:10" ht="15.95" customHeight="1" x14ac:dyDescent="0.25">
      <c r="D1162" s="2" t="s">
        <v>73</v>
      </c>
      <c r="F1162" s="18">
        <v>1989870</v>
      </c>
      <c r="H1162" s="16">
        <v>0.9802943045613759</v>
      </c>
    </row>
    <row r="1163" spans="2:10" ht="15.95" customHeight="1" x14ac:dyDescent="0.25">
      <c r="D1163" s="2" t="s">
        <v>72</v>
      </c>
      <c r="F1163" s="18">
        <v>40000</v>
      </c>
      <c r="H1163" s="16">
        <v>1.970569543862415E-2</v>
      </c>
      <c r="J1163" s="18" t="s">
        <v>47</v>
      </c>
    </row>
    <row r="1164" spans="2:10" ht="15.95" customHeight="1" x14ac:dyDescent="0.25">
      <c r="D1164" s="2" t="s">
        <v>74</v>
      </c>
      <c r="F1164" s="18">
        <v>0</v>
      </c>
      <c r="H1164" s="16">
        <v>0</v>
      </c>
    </row>
    <row r="1165" spans="2:10" ht="15.95" customHeight="1" x14ac:dyDescent="0.25">
      <c r="H1165" s="16">
        <v>1</v>
      </c>
      <c r="J1165" s="18">
        <v>2029870</v>
      </c>
    </row>
    <row r="1167" spans="2:10" ht="15.95" customHeight="1" x14ac:dyDescent="0.25">
      <c r="B1167" s="4">
        <v>4.0999999999999996</v>
      </c>
      <c r="C1167" s="2" t="s">
        <v>75</v>
      </c>
    </row>
    <row r="1168" spans="2:10" ht="15.95" customHeight="1" x14ac:dyDescent="0.25">
      <c r="C1168" s="2" t="s">
        <v>76</v>
      </c>
      <c r="H1168" s="16">
        <v>2.7012967095591919E-2</v>
      </c>
      <c r="J1168" s="18">
        <v>62000</v>
      </c>
    </row>
    <row r="1169" spans="2:10" ht="15.95" customHeight="1" x14ac:dyDescent="0.25">
      <c r="D1169" s="2" t="s">
        <v>72</v>
      </c>
      <c r="F1169" s="18">
        <v>0</v>
      </c>
      <c r="H1169" s="16" t="s">
        <v>47</v>
      </c>
      <c r="J1169" s="18" t="s">
        <v>47</v>
      </c>
    </row>
    <row r="1170" spans="2:10" ht="15.95" customHeight="1" x14ac:dyDescent="0.25">
      <c r="C1170" s="2" t="s">
        <v>77</v>
      </c>
      <c r="H1170" s="16">
        <v>0.97298703290440813</v>
      </c>
      <c r="J1170" s="18">
        <v>2233194</v>
      </c>
    </row>
    <row r="1171" spans="2:10" ht="15.95" customHeight="1" x14ac:dyDescent="0.25">
      <c r="H1171" s="16">
        <v>1</v>
      </c>
      <c r="J1171" s="18">
        <v>2295194</v>
      </c>
    </row>
    <row r="1173" spans="2:10" ht="15.95" customHeight="1" x14ac:dyDescent="0.25">
      <c r="B1173" s="4">
        <v>5</v>
      </c>
      <c r="C1173" s="2" t="s">
        <v>78</v>
      </c>
    </row>
    <row r="1174" spans="2:10" ht="15.95" customHeight="1" x14ac:dyDescent="0.25">
      <c r="C1174" s="2" t="s">
        <v>79</v>
      </c>
      <c r="H1174" s="16" t="s">
        <v>47</v>
      </c>
      <c r="J1174" s="18">
        <v>5085235.5799999991</v>
      </c>
    </row>
    <row r="1175" spans="2:10" ht="15.95" customHeight="1" x14ac:dyDescent="0.25">
      <c r="D1175" s="2" t="s">
        <v>80</v>
      </c>
      <c r="F1175" s="18">
        <v>1310933.98</v>
      </c>
      <c r="H1175" s="16">
        <v>0.25779218275665416</v>
      </c>
      <c r="J1175" s="18" t="s">
        <v>47</v>
      </c>
    </row>
    <row r="1176" spans="2:10" ht="15.95" customHeight="1" x14ac:dyDescent="0.25">
      <c r="D1176" s="2" t="s">
        <v>81</v>
      </c>
      <c r="F1176" s="18">
        <v>1395587.94</v>
      </c>
      <c r="H1176" s="16">
        <v>0.27443919127144945</v>
      </c>
      <c r="J1176" s="18" t="s">
        <v>47</v>
      </c>
    </row>
    <row r="1177" spans="2:10" ht="15.95" customHeight="1" x14ac:dyDescent="0.25">
      <c r="D1177" s="2" t="s">
        <v>121</v>
      </c>
      <c r="F1177" s="18">
        <v>10920</v>
      </c>
      <c r="H1177" s="16">
        <v>2.1473931400440649E-3</v>
      </c>
      <c r="J1177" s="18" t="s">
        <v>47</v>
      </c>
    </row>
    <row r="1178" spans="2:10" ht="15.95" customHeight="1" x14ac:dyDescent="0.25">
      <c r="D1178" s="2" t="s">
        <v>84</v>
      </c>
      <c r="F1178" s="18">
        <v>344375</v>
      </c>
      <c r="H1178" s="16">
        <v>6.7720559762149718E-2</v>
      </c>
      <c r="J1178" s="18" t="s">
        <v>47</v>
      </c>
    </row>
    <row r="1179" spans="2:10" ht="15.95" customHeight="1" x14ac:dyDescent="0.25">
      <c r="D1179" s="2" t="s">
        <v>85</v>
      </c>
      <c r="H1179" s="16">
        <v>0</v>
      </c>
    </row>
    <row r="1180" spans="2:10" ht="15.95" customHeight="1" x14ac:dyDescent="0.25">
      <c r="D1180" s="2" t="s">
        <v>87</v>
      </c>
      <c r="F1180" s="18">
        <v>613928.36</v>
      </c>
      <c r="H1180" s="16">
        <v>0.12072761435370907</v>
      </c>
      <c r="J1180" s="18" t="s">
        <v>47</v>
      </c>
    </row>
    <row r="1181" spans="2:10" ht="15.95" customHeight="1" x14ac:dyDescent="0.25">
      <c r="D1181" s="2" t="s">
        <v>88</v>
      </c>
      <c r="F1181" s="18">
        <v>134800</v>
      </c>
      <c r="H1181" s="16">
        <v>2.6508113120690471E-2</v>
      </c>
      <c r="J1181" s="18">
        <v>0</v>
      </c>
    </row>
    <row r="1182" spans="2:10" ht="15.95" customHeight="1" x14ac:dyDescent="0.25">
      <c r="D1182" s="2" t="s">
        <v>85</v>
      </c>
      <c r="F1182" s="18">
        <v>101662</v>
      </c>
      <c r="H1182" s="16">
        <v>1.9991600861095214E-2</v>
      </c>
    </row>
    <row r="1183" spans="2:10" ht="15.95" customHeight="1" x14ac:dyDescent="0.25">
      <c r="D1183" s="2" t="s">
        <v>131</v>
      </c>
      <c r="F1183" s="18">
        <v>72002</v>
      </c>
      <c r="H1183" s="16">
        <v>1.415902938364952E-2</v>
      </c>
    </row>
    <row r="1184" spans="2:10" ht="15.95" customHeight="1" x14ac:dyDescent="0.25">
      <c r="D1184" s="2" t="s">
        <v>132</v>
      </c>
      <c r="F1184" s="18">
        <v>166400</v>
      </c>
      <c r="H1184" s="16">
        <v>3.2722181181623844E-2</v>
      </c>
    </row>
    <row r="1185" spans="2:10" ht="20.25" customHeight="1" x14ac:dyDescent="0.25">
      <c r="D1185" s="2" t="s">
        <v>157</v>
      </c>
      <c r="F1185" s="18">
        <v>68160</v>
      </c>
      <c r="H1185" s="16">
        <v>1.3403508830165153E-2</v>
      </c>
    </row>
    <row r="1186" spans="2:10" ht="15.95" customHeight="1" x14ac:dyDescent="0.25">
      <c r="D1186" s="2" t="s">
        <v>89</v>
      </c>
      <c r="F1186" s="18">
        <v>866466.3</v>
      </c>
      <c r="H1186" s="16">
        <v>0.1703886253387695</v>
      </c>
      <c r="J1186" s="18" t="s">
        <v>47</v>
      </c>
    </row>
    <row r="1187" spans="2:10" ht="15.95" customHeight="1" x14ac:dyDescent="0.25">
      <c r="H1187" s="16">
        <v>1.0000000000000002</v>
      </c>
      <c r="J1187" s="18">
        <v>5085235.5799999991</v>
      </c>
    </row>
    <row r="1190" spans="2:10" ht="34.5" customHeight="1" x14ac:dyDescent="0.25">
      <c r="G1190" s="5" t="s">
        <v>0</v>
      </c>
      <c r="H1190" s="16" t="s">
        <v>1</v>
      </c>
      <c r="J1190" s="72" t="s">
        <v>182</v>
      </c>
    </row>
    <row r="1192" spans="2:10" ht="15.95" customHeight="1" x14ac:dyDescent="0.25">
      <c r="B1192" s="4">
        <v>4</v>
      </c>
      <c r="C1192" s="2" t="s">
        <v>3</v>
      </c>
    </row>
    <row r="1194" spans="2:10" ht="15.95" customHeight="1" x14ac:dyDescent="0.25">
      <c r="C1194" s="2" t="s">
        <v>4</v>
      </c>
      <c r="J1194" s="18">
        <v>421154.98000000324</v>
      </c>
    </row>
    <row r="1195" spans="2:10" ht="15.95" customHeight="1" x14ac:dyDescent="0.25">
      <c r="C1195" s="2" t="s">
        <v>5</v>
      </c>
    </row>
    <row r="1196" spans="2:10" ht="15.95" customHeight="1" x14ac:dyDescent="0.25">
      <c r="C1196" s="2" t="s">
        <v>6</v>
      </c>
      <c r="J1196" s="18">
        <v>-621473</v>
      </c>
    </row>
    <row r="1198" spans="2:10" ht="15.95" customHeight="1" x14ac:dyDescent="0.25">
      <c r="J1198" s="18">
        <v>-200318.01999999676</v>
      </c>
    </row>
    <row r="1199" spans="2:10" ht="15.95" customHeight="1" x14ac:dyDescent="0.25">
      <c r="B1199" s="4">
        <v>1</v>
      </c>
      <c r="C1199" s="2" t="s">
        <v>7</v>
      </c>
    </row>
    <row r="1200" spans="2:10" ht="15.95" customHeight="1" x14ac:dyDescent="0.25">
      <c r="B1200" s="4" t="s">
        <v>8</v>
      </c>
      <c r="C1200" s="2" t="s">
        <v>9</v>
      </c>
      <c r="H1200" s="16">
        <v>5.8713404474166613E-2</v>
      </c>
      <c r="J1200" s="18">
        <v>509900</v>
      </c>
    </row>
    <row r="1201" spans="2:10" ht="15.95" customHeight="1" x14ac:dyDescent="0.25">
      <c r="C1201" s="2" t="s">
        <v>150</v>
      </c>
      <c r="H1201" s="16">
        <v>0.13608314348670458</v>
      </c>
      <c r="J1201" s="18">
        <v>1181822.03</v>
      </c>
    </row>
    <row r="1202" spans="2:10" ht="15.95" customHeight="1" x14ac:dyDescent="0.25">
      <c r="C1202" s="2" t="s">
        <v>173</v>
      </c>
      <c r="H1202" s="16">
        <v>0.58597658809962982</v>
      </c>
      <c r="J1202" s="18">
        <v>5088948</v>
      </c>
    </row>
    <row r="1203" spans="2:10" ht="15.95" customHeight="1" x14ac:dyDescent="0.25">
      <c r="C1203" s="2" t="s">
        <v>10</v>
      </c>
      <c r="G1203" s="5">
        <v>1.1000000000000001</v>
      </c>
      <c r="H1203" s="16">
        <v>0.219226863939499</v>
      </c>
      <c r="J1203" s="18">
        <v>1903888.54</v>
      </c>
    </row>
    <row r="1204" spans="2:10" ht="15.95" customHeight="1" x14ac:dyDescent="0.25">
      <c r="C1204" s="2" t="s">
        <v>12</v>
      </c>
      <c r="H1204" s="16">
        <v>0</v>
      </c>
      <c r="J1204" s="18">
        <v>0</v>
      </c>
    </row>
    <row r="1205" spans="2:10" ht="15.95" customHeight="1" x14ac:dyDescent="0.25">
      <c r="H1205" s="16">
        <v>1</v>
      </c>
      <c r="J1205" s="18">
        <v>8684558.5700000003</v>
      </c>
    </row>
    <row r="1207" spans="2:10" ht="15.95" customHeight="1" x14ac:dyDescent="0.25">
      <c r="B1207" s="4">
        <v>1.1000000000000001</v>
      </c>
      <c r="C1207" s="2" t="s">
        <v>10</v>
      </c>
    </row>
    <row r="1208" spans="2:10" ht="15.95" customHeight="1" x14ac:dyDescent="0.25">
      <c r="C1208" s="2" t="s">
        <v>23</v>
      </c>
      <c r="H1208" s="16">
        <v>0.36536487582408578</v>
      </c>
      <c r="J1208" s="18">
        <v>695614</v>
      </c>
    </row>
    <row r="1209" spans="2:10" ht="15.95" customHeight="1" x14ac:dyDescent="0.25">
      <c r="C1209" s="2" t="s">
        <v>13</v>
      </c>
      <c r="H1209" s="16">
        <v>7.9836606401339025E-3</v>
      </c>
      <c r="J1209" s="18">
        <v>15200</v>
      </c>
    </row>
    <row r="1210" spans="2:10" ht="15.95" customHeight="1" x14ac:dyDescent="0.25">
      <c r="C1210" s="2" t="s">
        <v>14</v>
      </c>
      <c r="H1210" s="16">
        <v>0.10286841686646214</v>
      </c>
      <c r="J1210" s="18">
        <v>195850</v>
      </c>
    </row>
    <row r="1211" spans="2:10" ht="15.95" customHeight="1" x14ac:dyDescent="0.25">
      <c r="C1211" s="2" t="s">
        <v>15</v>
      </c>
      <c r="H1211" s="16">
        <v>2.0458130390343124E-2</v>
      </c>
      <c r="J1211" s="18">
        <v>38950</v>
      </c>
    </row>
    <row r="1212" spans="2:10" ht="15.95" customHeight="1" x14ac:dyDescent="0.25">
      <c r="C1212" s="2" t="s">
        <v>16</v>
      </c>
      <c r="H1212" s="16">
        <v>1.8488477271889035E-2</v>
      </c>
      <c r="J1212" s="18">
        <v>35200</v>
      </c>
    </row>
    <row r="1213" spans="2:10" ht="15.95" customHeight="1" x14ac:dyDescent="0.25">
      <c r="C1213" s="2" t="s">
        <v>17</v>
      </c>
      <c r="H1213" s="16">
        <v>6.9489362019060211E-2</v>
      </c>
      <c r="J1213" s="18">
        <v>132300</v>
      </c>
    </row>
    <row r="1214" spans="2:10" ht="15.95" customHeight="1" x14ac:dyDescent="0.25">
      <c r="C1214" s="2" t="s">
        <v>174</v>
      </c>
      <c r="H1214" s="16">
        <v>4.0968784863845021E-3</v>
      </c>
      <c r="J1214" s="18">
        <v>7800</v>
      </c>
    </row>
    <row r="1215" spans="2:10" ht="15.95" customHeight="1" x14ac:dyDescent="0.25">
      <c r="C1215" s="2" t="s">
        <v>18</v>
      </c>
      <c r="H1215" s="16">
        <v>0.12611032366422037</v>
      </c>
      <c r="J1215" s="18">
        <v>240100</v>
      </c>
    </row>
    <row r="1216" spans="2:10" ht="15.95" customHeight="1" x14ac:dyDescent="0.25">
      <c r="C1216" s="2" t="s">
        <v>123</v>
      </c>
      <c r="H1216" s="16">
        <v>8.1517377062419835E-2</v>
      </c>
      <c r="J1216" s="18">
        <v>155200</v>
      </c>
    </row>
    <row r="1217" spans="2:10" ht="15.95" customHeight="1" x14ac:dyDescent="0.25">
      <c r="C1217" s="2" t="s">
        <v>22</v>
      </c>
      <c r="H1217" s="16">
        <v>4.9950403083995662E-2</v>
      </c>
      <c r="J1217" s="18">
        <v>95100</v>
      </c>
    </row>
    <row r="1218" spans="2:10" ht="15.95" customHeight="1" x14ac:dyDescent="0.25">
      <c r="C1218" s="2" t="s">
        <v>175</v>
      </c>
      <c r="H1218" s="16">
        <v>8.8909900156234983E-2</v>
      </c>
      <c r="J1218" s="18">
        <v>169274.54</v>
      </c>
    </row>
    <row r="1219" spans="2:10" ht="18.75" customHeight="1" x14ac:dyDescent="0.25">
      <c r="C1219" s="2" t="s">
        <v>159</v>
      </c>
      <c r="H1219" s="16">
        <v>6.4762194534770404E-2</v>
      </c>
      <c r="J1219" s="18">
        <v>123300</v>
      </c>
    </row>
    <row r="1220" spans="2:10" ht="15.95" customHeight="1" x14ac:dyDescent="0.25">
      <c r="H1220" s="16">
        <v>0.99999999999999989</v>
      </c>
      <c r="J1220" s="18">
        <v>1903888.54</v>
      </c>
    </row>
    <row r="1221" spans="2:10" ht="15.95" customHeight="1" x14ac:dyDescent="0.25">
      <c r="B1221" s="4">
        <v>2</v>
      </c>
      <c r="C1221" s="2" t="s">
        <v>26</v>
      </c>
    </row>
    <row r="1223" spans="2:10" ht="15.95" customHeight="1" x14ac:dyDescent="0.25">
      <c r="C1223" s="2" t="s">
        <v>27</v>
      </c>
      <c r="H1223" s="16">
        <v>0.90434720159658588</v>
      </c>
      <c r="J1223" s="18">
        <v>5082228.2</v>
      </c>
    </row>
    <row r="1224" spans="2:10" ht="15.95" customHeight="1" x14ac:dyDescent="0.25">
      <c r="C1224" s="2" t="s">
        <v>28</v>
      </c>
      <c r="H1224" s="16">
        <v>2.0284137872549385E-3</v>
      </c>
      <c r="J1224" s="18">
        <v>11399.23</v>
      </c>
    </row>
    <row r="1225" spans="2:10" ht="15.95" customHeight="1" x14ac:dyDescent="0.25">
      <c r="C1225" s="2" t="s">
        <v>29</v>
      </c>
      <c r="G1225" s="5">
        <v>2.1</v>
      </c>
      <c r="H1225" s="16">
        <v>8.9160752531192586E-2</v>
      </c>
      <c r="J1225" s="18">
        <v>501063.408</v>
      </c>
    </row>
    <row r="1226" spans="2:10" ht="15.95" customHeight="1" x14ac:dyDescent="0.25">
      <c r="C1226" s="2" t="s">
        <v>176</v>
      </c>
      <c r="H1226" s="16">
        <v>7.1177221172129637E-4</v>
      </c>
      <c r="J1226" s="18">
        <v>4000</v>
      </c>
    </row>
    <row r="1227" spans="2:10" ht="15.95" customHeight="1" x14ac:dyDescent="0.25">
      <c r="C1227" s="2" t="s">
        <v>31</v>
      </c>
      <c r="H1227" s="16">
        <v>3.7518598732452411E-3</v>
      </c>
      <c r="J1227" s="18">
        <v>21084.61</v>
      </c>
    </row>
    <row r="1228" spans="2:10" ht="15.95" customHeight="1" x14ac:dyDescent="0.25">
      <c r="H1228" s="16">
        <v>0.99999999999999989</v>
      </c>
      <c r="J1228" s="18">
        <v>5619775.4480000008</v>
      </c>
    </row>
    <row r="1229" spans="2:10" ht="15.95" customHeight="1" x14ac:dyDescent="0.25">
      <c r="B1229" s="4">
        <v>2.1</v>
      </c>
      <c r="C1229" s="2" t="s">
        <v>32</v>
      </c>
    </row>
    <row r="1230" spans="2:10" ht="15.95" customHeight="1" x14ac:dyDescent="0.25">
      <c r="C1230" s="2" t="s">
        <v>35</v>
      </c>
      <c r="H1230" s="16">
        <v>0.13680404297254131</v>
      </c>
      <c r="J1230" s="18">
        <v>68547.5</v>
      </c>
    </row>
    <row r="1231" spans="2:10" ht="15.95" customHeight="1" x14ac:dyDescent="0.25">
      <c r="C1231" s="2" t="s">
        <v>36</v>
      </c>
      <c r="D1231" s="2" t="s">
        <v>25</v>
      </c>
      <c r="H1231" s="16">
        <v>2.7207135429055319E-2</v>
      </c>
      <c r="J1231" s="18">
        <v>13632.5</v>
      </c>
    </row>
    <row r="1232" spans="2:10" ht="15.95" customHeight="1" x14ac:dyDescent="0.25">
      <c r="C1232" s="2" t="s">
        <v>37</v>
      </c>
      <c r="H1232" s="16">
        <v>2.4587706472471046E-2</v>
      </c>
      <c r="J1232" s="18">
        <v>12320</v>
      </c>
    </row>
    <row r="1233" spans="2:10" ht="15.95" customHeight="1" x14ac:dyDescent="0.25">
      <c r="C1233" s="2" t="s">
        <v>38</v>
      </c>
      <c r="H1233" s="16">
        <v>9.2413453588293157E-2</v>
      </c>
      <c r="J1233" s="18">
        <v>46305</v>
      </c>
    </row>
    <row r="1234" spans="2:10" ht="15.95" customHeight="1" x14ac:dyDescent="0.25">
      <c r="C1234" s="2" t="s">
        <v>42</v>
      </c>
      <c r="H1234" s="16">
        <v>0.14375426113734491</v>
      </c>
      <c r="J1234" s="18">
        <v>72030</v>
      </c>
    </row>
    <row r="1235" spans="2:10" ht="15.95" customHeight="1" x14ac:dyDescent="0.25">
      <c r="C1235" s="2" t="s">
        <v>34</v>
      </c>
      <c r="H1235" s="16">
        <v>7.5838705028725625E-3</v>
      </c>
      <c r="J1235" s="18">
        <v>3800</v>
      </c>
    </row>
    <row r="1236" spans="2:10" ht="15.95" customHeight="1" x14ac:dyDescent="0.25">
      <c r="C1236" s="2" t="s">
        <v>124</v>
      </c>
      <c r="H1236" s="16">
        <v>6.1948247476095883E-2</v>
      </c>
      <c r="J1236" s="18">
        <v>31040</v>
      </c>
    </row>
    <row r="1237" spans="2:10" ht="15.95" customHeight="1" x14ac:dyDescent="0.25">
      <c r="C1237" s="2" t="s">
        <v>43</v>
      </c>
      <c r="H1237" s="16">
        <v>0.34706884842007862</v>
      </c>
      <c r="J1237" s="18">
        <v>173903.5</v>
      </c>
    </row>
    <row r="1238" spans="2:10" ht="15.95" customHeight="1" x14ac:dyDescent="0.25">
      <c r="C1238" s="2" t="s">
        <v>177</v>
      </c>
      <c r="H1238" s="16">
        <v>3.8917230212109203E-3</v>
      </c>
      <c r="J1238" s="18">
        <v>1950</v>
      </c>
    </row>
    <row r="1239" spans="2:10" ht="15.95" customHeight="1" x14ac:dyDescent="0.25">
      <c r="C1239" s="2" t="s">
        <v>161</v>
      </c>
      <c r="H1239" s="16">
        <v>4.9215328052851948E-2</v>
      </c>
      <c r="J1239" s="18">
        <v>24660</v>
      </c>
    </row>
    <row r="1240" spans="2:10" ht="15.95" customHeight="1" x14ac:dyDescent="0.25">
      <c r="C1240" s="2" t="s">
        <v>178</v>
      </c>
      <c r="H1240" s="16">
        <v>6.7566115304911675E-2</v>
      </c>
      <c r="J1240" s="18">
        <v>33854.908000000003</v>
      </c>
    </row>
    <row r="1241" spans="2:10" ht="15.95" customHeight="1" x14ac:dyDescent="0.25">
      <c r="C1241" s="2" t="s">
        <v>116</v>
      </c>
      <c r="H1241" s="16">
        <v>3.7959267622272669E-2</v>
      </c>
      <c r="J1241" s="18">
        <v>19020</v>
      </c>
    </row>
    <row r="1242" spans="2:10" ht="15.95" customHeight="1" x14ac:dyDescent="0.25">
      <c r="H1242" s="16">
        <v>1</v>
      </c>
      <c r="J1242" s="18">
        <v>501063.408</v>
      </c>
    </row>
    <row r="1243" spans="2:10" ht="15.95" customHeight="1" x14ac:dyDescent="0.25">
      <c r="B1243" s="4">
        <v>3</v>
      </c>
      <c r="C1243" s="2" t="s">
        <v>44</v>
      </c>
    </row>
    <row r="1244" spans="2:10" ht="15.95" customHeight="1" x14ac:dyDescent="0.25">
      <c r="C1244" s="2" t="s">
        <v>45</v>
      </c>
      <c r="H1244" s="16">
        <v>0.14391781841741466</v>
      </c>
      <c r="J1244" s="18">
        <v>166000</v>
      </c>
    </row>
    <row r="1245" spans="2:10" ht="15.95" customHeight="1" x14ac:dyDescent="0.25">
      <c r="D1245" s="2" t="s">
        <v>48</v>
      </c>
      <c r="F1245" s="18">
        <v>28000</v>
      </c>
      <c r="H1245" s="16" t="s">
        <v>47</v>
      </c>
      <c r="J1245" s="18" t="s">
        <v>47</v>
      </c>
    </row>
    <row r="1246" spans="2:10" ht="15.95" customHeight="1" x14ac:dyDescent="0.25">
      <c r="D1246" s="2" t="s">
        <v>50</v>
      </c>
      <c r="F1246" s="18">
        <v>38000</v>
      </c>
      <c r="H1246" s="16" t="s">
        <v>47</v>
      </c>
      <c r="J1246" s="18" t="s">
        <v>47</v>
      </c>
    </row>
    <row r="1247" spans="2:10" ht="15.95" customHeight="1" x14ac:dyDescent="0.25">
      <c r="D1247" s="2" t="s">
        <v>155</v>
      </c>
      <c r="F1247" s="18">
        <v>38000</v>
      </c>
      <c r="H1247" s="16" t="s">
        <v>47</v>
      </c>
      <c r="J1247" s="18" t="s">
        <v>47</v>
      </c>
    </row>
    <row r="1248" spans="2:10" ht="15.95" customHeight="1" x14ac:dyDescent="0.25">
      <c r="D1248" s="2" t="s">
        <v>156</v>
      </c>
      <c r="F1248" s="18">
        <v>50000</v>
      </c>
    </row>
    <row r="1249" spans="3:10" ht="15.95" customHeight="1" x14ac:dyDescent="0.25">
      <c r="D1249" s="2" t="s">
        <v>52</v>
      </c>
      <c r="F1249" s="18">
        <v>12000</v>
      </c>
    </row>
    <row r="1251" spans="3:10" ht="15.95" customHeight="1" x14ac:dyDescent="0.25">
      <c r="C1251" s="2" t="s">
        <v>53</v>
      </c>
      <c r="H1251" s="16">
        <v>3.4678992389738476E-2</v>
      </c>
      <c r="J1251" s="18">
        <v>40000</v>
      </c>
    </row>
    <row r="1252" spans="3:10" ht="15.95" customHeight="1" x14ac:dyDescent="0.25">
      <c r="D1252" s="2" t="s">
        <v>95</v>
      </c>
      <c r="F1252" s="18">
        <v>40000</v>
      </c>
    </row>
    <row r="1253" spans="3:10" ht="15.95" customHeight="1" x14ac:dyDescent="0.25">
      <c r="C1253" s="2" t="s">
        <v>54</v>
      </c>
      <c r="H1253" s="16">
        <v>3.1877528017266329E-2</v>
      </c>
      <c r="J1253" s="18">
        <v>36768.69</v>
      </c>
    </row>
    <row r="1254" spans="3:10" ht="15.95" customHeight="1" x14ac:dyDescent="0.25">
      <c r="C1254" s="2" t="s">
        <v>57</v>
      </c>
      <c r="H1254" s="16">
        <v>3.1332469624128713E-3</v>
      </c>
      <c r="J1254" s="18">
        <v>3614</v>
      </c>
    </row>
    <row r="1255" spans="3:10" ht="15.95" customHeight="1" x14ac:dyDescent="0.25">
      <c r="C1255" s="2" t="s">
        <v>58</v>
      </c>
      <c r="H1255" s="16">
        <v>0.38457442005562431</v>
      </c>
      <c r="J1255" s="18">
        <v>443582</v>
      </c>
    </row>
    <row r="1256" spans="3:10" ht="15.95" customHeight="1" x14ac:dyDescent="0.25">
      <c r="D1256" s="2" t="s">
        <v>97</v>
      </c>
      <c r="F1256" s="18">
        <v>40237.46</v>
      </c>
    </row>
    <row r="1257" spans="3:10" ht="15.95" customHeight="1" x14ac:dyDescent="0.25">
      <c r="D1257" s="2" t="s">
        <v>169</v>
      </c>
      <c r="F1257" s="18">
        <v>80000</v>
      </c>
    </row>
    <row r="1258" spans="3:10" ht="15.95" customHeight="1" x14ac:dyDescent="0.25">
      <c r="D1258" s="2" t="s">
        <v>98</v>
      </c>
      <c r="F1258" s="18">
        <v>135844.60999999999</v>
      </c>
    </row>
    <row r="1259" spans="3:10" ht="15.95" customHeight="1" x14ac:dyDescent="0.25">
      <c r="D1259" s="2" t="s">
        <v>179</v>
      </c>
      <c r="F1259" s="18">
        <v>187499.93</v>
      </c>
    </row>
    <row r="1260" spans="3:10" ht="15.95" customHeight="1" x14ac:dyDescent="0.25">
      <c r="C1260" s="2" t="s">
        <v>180</v>
      </c>
      <c r="H1260" s="16">
        <v>1.7299485307399574E-2</v>
      </c>
      <c r="J1260" s="18">
        <v>19953.849999999999</v>
      </c>
    </row>
    <row r="1261" spans="3:10" ht="15.95" customHeight="1" x14ac:dyDescent="0.25">
      <c r="C1261" s="2" t="s">
        <v>62</v>
      </c>
      <c r="H1261" s="16">
        <v>3.2945042770251551E-4</v>
      </c>
      <c r="J1261" s="18">
        <v>380</v>
      </c>
    </row>
    <row r="1262" spans="3:10" ht="15.95" customHeight="1" x14ac:dyDescent="0.25">
      <c r="C1262" s="2" t="s">
        <v>63</v>
      </c>
      <c r="H1262" s="16">
        <v>5.6353362633325021E-2</v>
      </c>
      <c r="J1262" s="18">
        <v>65000</v>
      </c>
    </row>
    <row r="1263" spans="3:10" ht="15.95" customHeight="1" x14ac:dyDescent="0.25">
      <c r="D1263" s="2" t="s">
        <v>64</v>
      </c>
      <c r="F1263" s="18">
        <v>65000</v>
      </c>
    </row>
    <row r="1264" spans="3:10" ht="15.95" customHeight="1" x14ac:dyDescent="0.25">
      <c r="C1264" s="2" t="s">
        <v>66</v>
      </c>
      <c r="H1264" s="16">
        <v>3.5745371405722934E-3</v>
      </c>
      <c r="J1264" s="18">
        <v>4123</v>
      </c>
    </row>
    <row r="1265" spans="2:10" ht="15.95" customHeight="1" x14ac:dyDescent="0.25">
      <c r="C1265" s="2" t="s">
        <v>67</v>
      </c>
      <c r="H1265" s="16">
        <v>2.2966162710104303E-3</v>
      </c>
      <c r="J1265" s="18">
        <v>2649</v>
      </c>
    </row>
    <row r="1266" spans="2:10" ht="15.95" customHeight="1" x14ac:dyDescent="0.25">
      <c r="C1266" s="2" t="s">
        <v>170</v>
      </c>
      <c r="H1266" s="16">
        <v>1.8639958409484431E-2</v>
      </c>
      <c r="J1266" s="18">
        <v>21500</v>
      </c>
    </row>
    <row r="1267" spans="2:10" ht="15.95" customHeight="1" x14ac:dyDescent="0.25">
      <c r="C1267" s="2" t="s">
        <v>102</v>
      </c>
      <c r="H1267" s="16">
        <v>3.9920340620531153E-2</v>
      </c>
      <c r="J1267" s="18">
        <v>46045.56</v>
      </c>
    </row>
    <row r="1268" spans="2:10" ht="15.95" customHeight="1" x14ac:dyDescent="0.25">
      <c r="C1268" s="2" t="s">
        <v>171</v>
      </c>
      <c r="H1268" s="16">
        <v>5.1151513774864252E-2</v>
      </c>
      <c r="J1268" s="18">
        <v>59000</v>
      </c>
    </row>
    <row r="1269" spans="2:10" ht="15.95" customHeight="1" x14ac:dyDescent="0.25">
      <c r="C1269" s="2" t="s">
        <v>130</v>
      </c>
      <c r="H1269" s="16">
        <v>4.850724060514669E-2</v>
      </c>
      <c r="J1269" s="18">
        <v>55950</v>
      </c>
    </row>
    <row r="1270" spans="2:10" ht="15.95" customHeight="1" x14ac:dyDescent="0.25">
      <c r="C1270" s="2" t="s">
        <v>147</v>
      </c>
      <c r="H1270" s="16">
        <v>3.3291832694148935E-3</v>
      </c>
      <c r="J1270" s="18">
        <v>3840</v>
      </c>
    </row>
    <row r="1271" spans="2:10" ht="15.95" customHeight="1" x14ac:dyDescent="0.25">
      <c r="C1271" s="2" t="s">
        <v>139</v>
      </c>
      <c r="H1271" s="16">
        <v>1.2822557436105802E-3</v>
      </c>
      <c r="J1271" s="18">
        <v>1479</v>
      </c>
    </row>
    <row r="1272" spans="2:10" ht="15.95" customHeight="1" x14ac:dyDescent="0.25">
      <c r="C1272" s="2" t="s">
        <v>165</v>
      </c>
      <c r="H1272" s="16">
        <v>0.15913404995448169</v>
      </c>
      <c r="J1272" s="18">
        <v>183550.95</v>
      </c>
    </row>
    <row r="1273" spans="2:10" ht="15.95" customHeight="1" x14ac:dyDescent="0.25">
      <c r="H1273" s="16">
        <v>1.0000000000000002</v>
      </c>
      <c r="J1273" s="18">
        <v>1153436.0499999998</v>
      </c>
    </row>
    <row r="1275" spans="2:10" ht="15.95" customHeight="1" x14ac:dyDescent="0.25">
      <c r="B1275" s="4">
        <v>4</v>
      </c>
      <c r="C1275" s="2" t="s">
        <v>70</v>
      </c>
    </row>
    <row r="1276" spans="2:10" ht="15.95" customHeight="1" x14ac:dyDescent="0.25">
      <c r="C1276" s="2" t="s">
        <v>71</v>
      </c>
      <c r="J1276" s="18">
        <v>929870</v>
      </c>
    </row>
    <row r="1277" spans="2:10" ht="15.95" customHeight="1" x14ac:dyDescent="0.25">
      <c r="D1277" s="2" t="s">
        <v>73</v>
      </c>
      <c r="F1277" s="18">
        <v>889870</v>
      </c>
      <c r="H1277" s="16">
        <v>0.95698323421553555</v>
      </c>
      <c r="J1277" s="18" t="s">
        <v>47</v>
      </c>
    </row>
    <row r="1278" spans="2:10" ht="15.95" customHeight="1" x14ac:dyDescent="0.25">
      <c r="D1278" s="2" t="s">
        <v>72</v>
      </c>
      <c r="F1278" s="18">
        <v>40000</v>
      </c>
      <c r="H1278" s="16">
        <v>4.3016765784464492E-2</v>
      </c>
      <c r="J1278" s="18" t="s">
        <v>47</v>
      </c>
    </row>
    <row r="1279" spans="2:10" ht="15.95" customHeight="1" x14ac:dyDescent="0.25">
      <c r="D1279" s="2" t="s">
        <v>74</v>
      </c>
      <c r="F1279" s="18">
        <v>0</v>
      </c>
      <c r="H1279" s="16">
        <v>0</v>
      </c>
    </row>
    <row r="1280" spans="2:10" ht="15.95" customHeight="1" x14ac:dyDescent="0.25">
      <c r="H1280" s="16">
        <v>1</v>
      </c>
      <c r="J1280" s="18">
        <v>929870</v>
      </c>
    </row>
    <row r="1281" spans="2:10" ht="15.95" customHeight="1" x14ac:dyDescent="0.25">
      <c r="B1281" s="4">
        <v>4.0999999999999996</v>
      </c>
      <c r="C1281" s="2" t="s">
        <v>75</v>
      </c>
    </row>
    <row r="1282" spans="2:10" ht="15.95" customHeight="1" x14ac:dyDescent="0.25">
      <c r="C1282" s="2" t="s">
        <v>76</v>
      </c>
      <c r="H1282" s="16">
        <v>2.4462758508016359E-2</v>
      </c>
      <c r="J1282" s="18">
        <v>56000</v>
      </c>
    </row>
    <row r="1283" spans="2:10" ht="15.95" customHeight="1" x14ac:dyDescent="0.25">
      <c r="D1283" s="2" t="s">
        <v>72</v>
      </c>
      <c r="F1283" s="18">
        <v>0</v>
      </c>
      <c r="H1283" s="16" t="s">
        <v>47</v>
      </c>
      <c r="J1283" s="18" t="s">
        <v>47</v>
      </c>
    </row>
    <row r="1284" spans="2:10" ht="15.95" customHeight="1" x14ac:dyDescent="0.25">
      <c r="C1284" s="2" t="s">
        <v>77</v>
      </c>
      <c r="H1284" s="16">
        <v>0.97553724149198362</v>
      </c>
      <c r="J1284" s="18">
        <v>2233194</v>
      </c>
    </row>
    <row r="1285" spans="2:10" ht="15.95" customHeight="1" x14ac:dyDescent="0.25">
      <c r="H1285" s="16">
        <v>1</v>
      </c>
      <c r="J1285" s="18">
        <v>2289194</v>
      </c>
    </row>
    <row r="1286" spans="2:10" ht="15.95" customHeight="1" x14ac:dyDescent="0.25">
      <c r="B1286" s="4">
        <v>5</v>
      </c>
      <c r="C1286" s="2" t="s">
        <v>78</v>
      </c>
    </row>
    <row r="1287" spans="2:10" ht="15.95" customHeight="1" x14ac:dyDescent="0.25">
      <c r="C1287" s="2" t="s">
        <v>79</v>
      </c>
      <c r="J1287" s="18">
        <v>11039821.260000002</v>
      </c>
    </row>
    <row r="1288" spans="2:10" ht="15.95" customHeight="1" x14ac:dyDescent="0.25">
      <c r="D1288" s="2" t="s">
        <v>80</v>
      </c>
      <c r="F1288" s="18">
        <v>1329103.08</v>
      </c>
      <c r="H1288" s="16">
        <v>0.12039172090726402</v>
      </c>
      <c r="J1288" s="18" t="s">
        <v>47</v>
      </c>
    </row>
    <row r="1289" spans="2:10" ht="15.95" customHeight="1" x14ac:dyDescent="0.25">
      <c r="D1289" s="2" t="s">
        <v>81</v>
      </c>
      <c r="F1289" s="18">
        <v>1408205.44</v>
      </c>
      <c r="H1289" s="16">
        <v>0.12755690575374404</v>
      </c>
      <c r="J1289" s="18" t="s">
        <v>47</v>
      </c>
    </row>
    <row r="1290" spans="2:10" ht="15.95" customHeight="1" x14ac:dyDescent="0.25">
      <c r="D1290" s="2" t="s">
        <v>84</v>
      </c>
      <c r="F1290" s="18">
        <v>355775</v>
      </c>
      <c r="H1290" s="16">
        <v>3.2226518131145895E-2</v>
      </c>
      <c r="J1290" s="18" t="s">
        <v>47</v>
      </c>
    </row>
    <row r="1291" spans="2:10" ht="15.95" customHeight="1" x14ac:dyDescent="0.25">
      <c r="D1291" s="2" t="s">
        <v>85</v>
      </c>
      <c r="H1291" s="16">
        <v>0</v>
      </c>
    </row>
    <row r="1292" spans="2:10" ht="15.95" customHeight="1" x14ac:dyDescent="0.25">
      <c r="D1292" s="2" t="s">
        <v>87</v>
      </c>
      <c r="F1292" s="18">
        <v>870139.44000000041</v>
      </c>
      <c r="H1292" s="16">
        <v>7.8818254345541849E-2</v>
      </c>
      <c r="J1292" s="18" t="s">
        <v>47</v>
      </c>
    </row>
    <row r="1293" spans="2:10" ht="15.95" customHeight="1" x14ac:dyDescent="0.25">
      <c r="D1293" s="2" t="s">
        <v>88</v>
      </c>
      <c r="F1293" s="18">
        <v>150320</v>
      </c>
      <c r="H1293" s="16">
        <v>1.3616162477616054E-2</v>
      </c>
      <c r="J1293" s="18">
        <v>0</v>
      </c>
    </row>
    <row r="1294" spans="2:10" ht="15.95" customHeight="1" x14ac:dyDescent="0.25">
      <c r="D1294" s="2" t="s">
        <v>85</v>
      </c>
      <c r="F1294" s="18">
        <v>251470.18999999994</v>
      </c>
      <c r="H1294" s="16">
        <v>2.2778465708601509E-2</v>
      </c>
      <c r="J1294" s="18">
        <v>0</v>
      </c>
    </row>
    <row r="1295" spans="2:10" ht="15.95" customHeight="1" x14ac:dyDescent="0.25">
      <c r="D1295" s="2" t="s">
        <v>131</v>
      </c>
      <c r="F1295" s="18">
        <v>72002</v>
      </c>
      <c r="H1295" s="16">
        <v>6.5220258828719473E-3</v>
      </c>
      <c r="J1295" s="18">
        <v>0</v>
      </c>
    </row>
    <row r="1296" spans="2:10" ht="15.95" customHeight="1" x14ac:dyDescent="0.25">
      <c r="D1296" s="2" t="s">
        <v>132</v>
      </c>
      <c r="F1296" s="18">
        <v>212640</v>
      </c>
      <c r="H1296" s="16">
        <v>1.9261181407931597E-2</v>
      </c>
      <c r="J1296" s="18">
        <v>0</v>
      </c>
    </row>
    <row r="1297" spans="2:10" ht="15.95" customHeight="1" x14ac:dyDescent="0.25">
      <c r="D1297" s="2" t="s">
        <v>157</v>
      </c>
      <c r="F1297" s="18">
        <v>98640</v>
      </c>
      <c r="H1297" s="16">
        <v>8.9349272671104801E-3</v>
      </c>
      <c r="J1297" s="18">
        <v>0</v>
      </c>
    </row>
    <row r="1298" spans="2:10" ht="15.95" customHeight="1" x14ac:dyDescent="0.25">
      <c r="D1298" s="2" t="s">
        <v>89</v>
      </c>
      <c r="F1298" s="18">
        <v>539428.11</v>
      </c>
      <c r="H1298" s="16">
        <v>4.8862032934761476E-2</v>
      </c>
      <c r="J1298" s="18">
        <v>0</v>
      </c>
    </row>
    <row r="1299" spans="2:10" ht="15.95" customHeight="1" x14ac:dyDescent="0.25">
      <c r="D1299" s="2" t="s">
        <v>181</v>
      </c>
      <c r="F1299" s="18">
        <v>5850</v>
      </c>
      <c r="H1299" s="16">
        <v>5.2989988354213617E-4</v>
      </c>
      <c r="J1299" s="18">
        <v>0</v>
      </c>
    </row>
    <row r="1300" spans="2:10" ht="15.95" customHeight="1" x14ac:dyDescent="0.25">
      <c r="D1300" s="2" t="s">
        <v>11</v>
      </c>
      <c r="F1300" s="18">
        <v>657300</v>
      </c>
      <c r="H1300" s="16">
        <v>5.9539007427734381E-2</v>
      </c>
      <c r="J1300" s="18">
        <v>0</v>
      </c>
    </row>
    <row r="1301" spans="2:10" ht="15.95" customHeight="1" x14ac:dyDescent="0.25">
      <c r="D1301" s="2" t="s">
        <v>173</v>
      </c>
      <c r="F1301" s="18">
        <v>5088948</v>
      </c>
      <c r="H1301" s="16">
        <v>0.46096289787213451</v>
      </c>
    </row>
    <row r="1302" spans="2:10" ht="15.95" customHeight="1" x14ac:dyDescent="0.25">
      <c r="H1302" s="16">
        <v>0.99999999999999978</v>
      </c>
      <c r="J1302" s="18">
        <v>11039821.260000002</v>
      </c>
    </row>
    <row r="1306" spans="2:10" ht="15.95" customHeight="1" x14ac:dyDescent="0.25">
      <c r="G1306" s="5" t="s">
        <v>0</v>
      </c>
      <c r="H1306" s="16" t="s">
        <v>1</v>
      </c>
      <c r="J1306" s="18" t="s">
        <v>149</v>
      </c>
    </row>
    <row r="1308" spans="2:10" ht="15.95" customHeight="1" x14ac:dyDescent="0.25">
      <c r="B1308" s="4">
        <v>4</v>
      </c>
      <c r="C1308" s="2" t="s">
        <v>3</v>
      </c>
    </row>
    <row r="1310" spans="2:10" ht="15.95" customHeight="1" x14ac:dyDescent="0.25">
      <c r="C1310" s="2" t="s">
        <v>4</v>
      </c>
      <c r="J1310" s="18">
        <v>421154.98000000324</v>
      </c>
    </row>
    <row r="1311" spans="2:10" ht="15.95" customHeight="1" x14ac:dyDescent="0.25">
      <c r="C1311" s="2" t="s">
        <v>5</v>
      </c>
    </row>
    <row r="1312" spans="2:10" ht="15.95" customHeight="1" x14ac:dyDescent="0.25">
      <c r="C1312" s="2" t="s">
        <v>6</v>
      </c>
      <c r="J1312" s="18">
        <v>-621473</v>
      </c>
    </row>
    <row r="1314" spans="2:10" ht="15.95" customHeight="1" x14ac:dyDescent="0.25">
      <c r="J1314" s="18">
        <v>-200318.01999999676</v>
      </c>
    </row>
    <row r="1315" spans="2:10" ht="15.95" customHeight="1" x14ac:dyDescent="0.25">
      <c r="B1315" s="4">
        <v>1</v>
      </c>
      <c r="C1315" s="2" t="s">
        <v>7</v>
      </c>
    </row>
    <row r="1316" spans="2:10" ht="15.95" customHeight="1" x14ac:dyDescent="0.25">
      <c r="B1316" s="4" t="s">
        <v>8</v>
      </c>
      <c r="C1316" s="2" t="s">
        <v>9</v>
      </c>
      <c r="H1316" s="16">
        <v>0.33288273088577802</v>
      </c>
      <c r="J1316" s="18">
        <v>1011630</v>
      </c>
    </row>
    <row r="1317" spans="2:10" ht="15.95" customHeight="1" x14ac:dyDescent="0.25">
      <c r="C1317" s="2" t="s">
        <v>150</v>
      </c>
      <c r="H1317" s="16">
        <v>0.15074046738310934</v>
      </c>
      <c r="J1317" s="18">
        <v>458100</v>
      </c>
    </row>
    <row r="1318" spans="2:10" ht="15.95" customHeight="1" x14ac:dyDescent="0.25">
      <c r="C1318" s="2" t="s">
        <v>10</v>
      </c>
      <c r="G1318" s="5">
        <v>1.1000000000000001</v>
      </c>
      <c r="H1318" s="16">
        <v>0.51637680173111267</v>
      </c>
      <c r="J1318" s="18">
        <v>1569268.1400000001</v>
      </c>
    </row>
    <row r="1319" spans="2:10" ht="15.95" customHeight="1" x14ac:dyDescent="0.25">
      <c r="C1319" s="2" t="s">
        <v>12</v>
      </c>
      <c r="H1319" s="16">
        <v>0</v>
      </c>
      <c r="J1319" s="18">
        <v>0</v>
      </c>
    </row>
    <row r="1320" spans="2:10" ht="15.95" customHeight="1" x14ac:dyDescent="0.25">
      <c r="H1320" s="16">
        <v>1</v>
      </c>
      <c r="J1320" s="18">
        <v>3038998.14</v>
      </c>
    </row>
    <row r="1322" spans="2:10" ht="15.95" customHeight="1" x14ac:dyDescent="0.25">
      <c r="B1322" s="4">
        <v>1.1000000000000001</v>
      </c>
      <c r="C1322" s="2" t="s">
        <v>10</v>
      </c>
    </row>
    <row r="1323" spans="2:10" ht="15.95" customHeight="1" x14ac:dyDescent="0.25">
      <c r="C1323" s="2" t="s">
        <v>23</v>
      </c>
      <c r="H1323" s="16">
        <v>0.25960709302363072</v>
      </c>
      <c r="J1323" s="18">
        <v>407393.14</v>
      </c>
    </row>
    <row r="1324" spans="2:10" ht="15.95" customHeight="1" x14ac:dyDescent="0.25">
      <c r="C1324" s="2" t="s">
        <v>13</v>
      </c>
      <c r="H1324" s="16">
        <v>2.0327947268463629E-2</v>
      </c>
      <c r="J1324" s="18">
        <v>31900</v>
      </c>
    </row>
    <row r="1325" spans="2:10" ht="15.95" customHeight="1" x14ac:dyDescent="0.25">
      <c r="C1325" s="2" t="s">
        <v>14</v>
      </c>
      <c r="H1325" s="16">
        <v>0.19384832473563121</v>
      </c>
      <c r="J1325" s="18">
        <v>304200</v>
      </c>
    </row>
    <row r="1326" spans="2:10" ht="15.95" customHeight="1" x14ac:dyDescent="0.25">
      <c r="C1326" s="2" t="s">
        <v>15</v>
      </c>
      <c r="H1326" s="16">
        <v>4.1866650016867096E-2</v>
      </c>
      <c r="J1326" s="18">
        <v>65700</v>
      </c>
    </row>
    <row r="1327" spans="2:10" ht="15.95" customHeight="1" x14ac:dyDescent="0.25">
      <c r="C1327" s="2" t="s">
        <v>16</v>
      </c>
      <c r="H1327" s="16">
        <v>2.0582843158977279E-2</v>
      </c>
      <c r="J1327" s="18">
        <v>32300</v>
      </c>
    </row>
    <row r="1328" spans="2:10" ht="15.95" customHeight="1" x14ac:dyDescent="0.25">
      <c r="C1328" s="2" t="s">
        <v>17</v>
      </c>
      <c r="H1328" s="16">
        <v>8.9532181542919739E-2</v>
      </c>
      <c r="J1328" s="18">
        <v>140500</v>
      </c>
    </row>
    <row r="1329" spans="2:10" ht="15.95" customHeight="1" x14ac:dyDescent="0.25">
      <c r="C1329" s="2" t="s">
        <v>174</v>
      </c>
      <c r="H1329" s="16">
        <v>1.4720237677163316E-2</v>
      </c>
      <c r="J1329" s="18">
        <v>23100</v>
      </c>
    </row>
    <row r="1330" spans="2:10" ht="15.95" customHeight="1" x14ac:dyDescent="0.25">
      <c r="C1330" s="2" t="s">
        <v>18</v>
      </c>
      <c r="H1330" s="16">
        <v>8.9532181542919739E-2</v>
      </c>
      <c r="J1330" s="18">
        <v>140500</v>
      </c>
    </row>
    <row r="1331" spans="2:10" ht="15.95" customHeight="1" x14ac:dyDescent="0.25">
      <c r="C1331" s="2" t="s">
        <v>123</v>
      </c>
      <c r="H1331" s="16">
        <v>5.3783032898380254E-2</v>
      </c>
      <c r="J1331" s="18">
        <v>84400</v>
      </c>
    </row>
    <row r="1332" spans="2:10" ht="15.95" customHeight="1" x14ac:dyDescent="0.25">
      <c r="C1332" s="2" t="s">
        <v>183</v>
      </c>
      <c r="H1332" s="16">
        <v>4.0624032550613046E-3</v>
      </c>
      <c r="J1332" s="18">
        <v>6375</v>
      </c>
    </row>
    <row r="1333" spans="2:10" ht="15.95" customHeight="1" x14ac:dyDescent="0.25">
      <c r="C1333" s="2" t="s">
        <v>184</v>
      </c>
      <c r="H1333" s="16">
        <v>3.7469695905506625E-2</v>
      </c>
      <c r="J1333" s="18">
        <v>58800</v>
      </c>
    </row>
    <row r="1334" spans="2:10" ht="15.95" customHeight="1" x14ac:dyDescent="0.25">
      <c r="C1334" s="2" t="s">
        <v>22</v>
      </c>
      <c r="H1334" s="16">
        <v>5.3209517144724543E-2</v>
      </c>
      <c r="J1334" s="18">
        <v>83500</v>
      </c>
    </row>
    <row r="1335" spans="2:10" ht="15.95" customHeight="1" x14ac:dyDescent="0.25">
      <c r="C1335" s="2" t="s">
        <v>159</v>
      </c>
      <c r="H1335" s="16">
        <v>0.12145789182975446</v>
      </c>
      <c r="J1335" s="18">
        <v>190600</v>
      </c>
    </row>
    <row r="1336" spans="2:10" ht="15.95" customHeight="1" x14ac:dyDescent="0.25">
      <c r="H1336" s="16">
        <v>1</v>
      </c>
      <c r="J1336" s="18">
        <v>1569268.1400000001</v>
      </c>
    </row>
    <row r="1337" spans="2:10" ht="15.95" customHeight="1" x14ac:dyDescent="0.25">
      <c r="B1337" s="4">
        <v>2</v>
      </c>
      <c r="C1337" s="2" t="s">
        <v>26</v>
      </c>
    </row>
    <row r="1339" spans="2:10" ht="15.95" customHeight="1" x14ac:dyDescent="0.25">
      <c r="C1339" s="2" t="s">
        <v>27</v>
      </c>
      <c r="H1339" s="16">
        <v>0.64279491403849509</v>
      </c>
      <c r="J1339" s="18">
        <v>1199429.0000000002</v>
      </c>
    </row>
    <row r="1340" spans="2:10" ht="15.95" customHeight="1" x14ac:dyDescent="0.25">
      <c r="C1340" s="2" t="s">
        <v>28</v>
      </c>
      <c r="H1340" s="16">
        <v>5.1799850036367617E-3</v>
      </c>
      <c r="J1340" s="18">
        <v>9665.64</v>
      </c>
    </row>
    <row r="1341" spans="2:10" ht="15.95" customHeight="1" x14ac:dyDescent="0.25">
      <c r="C1341" s="2" t="s">
        <v>29</v>
      </c>
      <c r="G1341" s="5">
        <v>2.1</v>
      </c>
      <c r="H1341" s="16">
        <v>0.2751813468234327</v>
      </c>
      <c r="J1341" s="18">
        <v>513477.13</v>
      </c>
    </row>
    <row r="1342" spans="2:10" ht="15.95" customHeight="1" x14ac:dyDescent="0.25">
      <c r="C1342" s="2" t="s">
        <v>31</v>
      </c>
      <c r="H1342" s="16">
        <v>1.36054967164955E-2</v>
      </c>
      <c r="J1342" s="18">
        <v>25387.3</v>
      </c>
    </row>
    <row r="1343" spans="2:10" ht="15.95" customHeight="1" x14ac:dyDescent="0.25">
      <c r="C1343" s="2" t="s">
        <v>185</v>
      </c>
      <c r="H1343" s="16">
        <v>6.3238257417940036E-2</v>
      </c>
      <c r="J1343" s="18">
        <v>118000</v>
      </c>
    </row>
    <row r="1344" spans="2:10" ht="15.95" customHeight="1" x14ac:dyDescent="0.25">
      <c r="H1344" s="16">
        <v>1.0000000000000002</v>
      </c>
      <c r="J1344" s="18">
        <v>1865959.07</v>
      </c>
    </row>
    <row r="1345" spans="2:10" ht="15.95" customHeight="1" x14ac:dyDescent="0.25">
      <c r="B1345" s="4">
        <v>2.1</v>
      </c>
      <c r="C1345" s="2" t="s">
        <v>32</v>
      </c>
    </row>
    <row r="1346" spans="2:10" ht="15.95" customHeight="1" x14ac:dyDescent="0.25">
      <c r="C1346" s="2" t="s">
        <v>35</v>
      </c>
      <c r="H1346" s="16">
        <v>0.20735100704485129</v>
      </c>
      <c r="J1346" s="18">
        <v>106470</v>
      </c>
    </row>
    <row r="1347" spans="2:10" ht="15.95" customHeight="1" x14ac:dyDescent="0.25">
      <c r="C1347" s="2" t="s">
        <v>36</v>
      </c>
      <c r="D1347" s="2" t="s">
        <v>25</v>
      </c>
      <c r="H1347" s="16">
        <v>4.4782909805544807E-2</v>
      </c>
      <c r="J1347" s="18">
        <v>22995</v>
      </c>
    </row>
    <row r="1348" spans="2:10" ht="15.95" customHeight="1" x14ac:dyDescent="0.25">
      <c r="C1348" s="2" t="s">
        <v>37</v>
      </c>
      <c r="H1348" s="16">
        <v>2.2016559919620961E-2</v>
      </c>
      <c r="J1348" s="18">
        <v>11305</v>
      </c>
    </row>
    <row r="1349" spans="2:10" ht="15.95" customHeight="1" x14ac:dyDescent="0.25">
      <c r="C1349" s="2" t="s">
        <v>38</v>
      </c>
      <c r="H1349" s="16">
        <v>9.5768627514140725E-2</v>
      </c>
      <c r="J1349" s="18">
        <v>49175</v>
      </c>
    </row>
    <row r="1350" spans="2:10" ht="15.95" customHeight="1" x14ac:dyDescent="0.25">
      <c r="C1350" s="2" t="s">
        <v>42</v>
      </c>
      <c r="H1350" s="16">
        <v>8.2087395012120618E-2</v>
      </c>
      <c r="J1350" s="18">
        <v>42150</v>
      </c>
    </row>
    <row r="1351" spans="2:10" ht="15.95" customHeight="1" x14ac:dyDescent="0.25">
      <c r="C1351" s="2" t="s">
        <v>34</v>
      </c>
      <c r="H1351" s="16">
        <v>1.5531363587702537E-2</v>
      </c>
      <c r="J1351" s="18">
        <v>7975</v>
      </c>
    </row>
    <row r="1352" spans="2:10" ht="15.95" customHeight="1" x14ac:dyDescent="0.25">
      <c r="C1352" s="2" t="s">
        <v>124</v>
      </c>
      <c r="H1352" s="16">
        <v>3.287390813296788E-2</v>
      </c>
      <c r="J1352" s="18">
        <v>16880</v>
      </c>
    </row>
    <row r="1353" spans="2:10" ht="15.95" customHeight="1" x14ac:dyDescent="0.25">
      <c r="C1353" s="2" t="s">
        <v>43</v>
      </c>
      <c r="H1353" s="16">
        <v>0.1983503724888388</v>
      </c>
      <c r="J1353" s="18">
        <v>101848.37999999989</v>
      </c>
    </row>
    <row r="1354" spans="2:10" ht="15.95" customHeight="1" x14ac:dyDescent="0.25">
      <c r="C1354" s="2" t="s">
        <v>177</v>
      </c>
      <c r="H1354" s="16">
        <v>1.1246849494543217E-2</v>
      </c>
      <c r="J1354" s="18">
        <v>5775</v>
      </c>
    </row>
    <row r="1355" spans="2:10" ht="15.95" customHeight="1" x14ac:dyDescent="0.25">
      <c r="C1355" s="2" t="s">
        <v>161</v>
      </c>
      <c r="H1355" s="16">
        <v>7.4238944196015136E-2</v>
      </c>
      <c r="J1355" s="18">
        <v>38120</v>
      </c>
    </row>
    <row r="1356" spans="2:10" ht="15.95" customHeight="1" x14ac:dyDescent="0.25">
      <c r="C1356" s="2" t="s">
        <v>186</v>
      </c>
      <c r="H1356" s="16">
        <v>2.5901835199554075E-3</v>
      </c>
      <c r="J1356" s="18">
        <v>1330</v>
      </c>
    </row>
    <row r="1357" spans="2:10" ht="15.95" customHeight="1" x14ac:dyDescent="0.25">
      <c r="C1357" s="2" t="s">
        <v>116</v>
      </c>
      <c r="H1357" s="16">
        <v>3.2523356979891206E-2</v>
      </c>
      <c r="J1357" s="18">
        <v>16700</v>
      </c>
    </row>
    <row r="1358" spans="2:10" ht="15.95" customHeight="1" x14ac:dyDescent="0.25">
      <c r="C1358" s="2" t="s">
        <v>187</v>
      </c>
      <c r="H1358" s="16">
        <v>2.2902675334342548E-2</v>
      </c>
      <c r="J1358" s="18">
        <v>11760</v>
      </c>
    </row>
    <row r="1359" spans="2:10" ht="15.95" customHeight="1" x14ac:dyDescent="0.25">
      <c r="C1359" s="2" t="s">
        <v>188</v>
      </c>
      <c r="H1359" s="16">
        <v>3.1038383345330304E-3</v>
      </c>
      <c r="J1359" s="18">
        <v>1593.75</v>
      </c>
    </row>
    <row r="1360" spans="2:10" ht="15.95" customHeight="1" x14ac:dyDescent="0.25">
      <c r="C1360" s="2" t="s">
        <v>189</v>
      </c>
      <c r="H1360" s="16">
        <v>0.15463200863493184</v>
      </c>
      <c r="J1360" s="18">
        <v>79400</v>
      </c>
    </row>
    <row r="1361" spans="2:10" ht="15.95" customHeight="1" x14ac:dyDescent="0.25">
      <c r="H1361" s="16">
        <v>1</v>
      </c>
      <c r="J1361" s="18">
        <v>513477.12999999989</v>
      </c>
    </row>
    <row r="1362" spans="2:10" ht="15.95" customHeight="1" x14ac:dyDescent="0.25">
      <c r="B1362" s="4">
        <v>3</v>
      </c>
      <c r="C1362" s="2" t="s">
        <v>44</v>
      </c>
    </row>
    <row r="1363" spans="2:10" ht="15.95" customHeight="1" x14ac:dyDescent="0.25">
      <c r="C1363" s="2" t="s">
        <v>45</v>
      </c>
      <c r="H1363" s="16">
        <v>0.2546014612896883</v>
      </c>
      <c r="J1363" s="18">
        <v>166000</v>
      </c>
    </row>
    <row r="1364" spans="2:10" ht="15.95" customHeight="1" x14ac:dyDescent="0.25">
      <c r="D1364" s="2" t="s">
        <v>48</v>
      </c>
      <c r="F1364" s="18">
        <v>28000</v>
      </c>
      <c r="H1364" s="16" t="s">
        <v>47</v>
      </c>
      <c r="J1364" s="18" t="s">
        <v>47</v>
      </c>
    </row>
    <row r="1365" spans="2:10" ht="15.95" customHeight="1" x14ac:dyDescent="0.25">
      <c r="D1365" s="2" t="s">
        <v>50</v>
      </c>
      <c r="F1365" s="18">
        <v>38000</v>
      </c>
      <c r="H1365" s="16" t="s">
        <v>47</v>
      </c>
      <c r="J1365" s="18" t="s">
        <v>47</v>
      </c>
    </row>
    <row r="1366" spans="2:10" ht="15.95" customHeight="1" x14ac:dyDescent="0.25">
      <c r="D1366" s="2" t="s">
        <v>155</v>
      </c>
      <c r="F1366" s="18">
        <v>38000</v>
      </c>
      <c r="H1366" s="16" t="s">
        <v>47</v>
      </c>
      <c r="J1366" s="18" t="s">
        <v>47</v>
      </c>
    </row>
    <row r="1367" spans="2:10" ht="15.95" customHeight="1" x14ac:dyDescent="0.25">
      <c r="D1367" s="2" t="s">
        <v>156</v>
      </c>
      <c r="F1367" s="18">
        <v>50000</v>
      </c>
    </row>
    <row r="1368" spans="2:10" ht="15.95" customHeight="1" x14ac:dyDescent="0.25">
      <c r="D1368" s="2" t="s">
        <v>52</v>
      </c>
      <c r="F1368" s="18">
        <v>12000</v>
      </c>
    </row>
    <row r="1369" spans="2:10" ht="15.95" customHeight="1" x14ac:dyDescent="0.25">
      <c r="C1369" s="2" t="s">
        <v>190</v>
      </c>
      <c r="H1369" s="16">
        <v>2.760738736876138E-2</v>
      </c>
      <c r="J1369" s="18">
        <v>18000</v>
      </c>
    </row>
    <row r="1370" spans="2:10" ht="15.95" customHeight="1" x14ac:dyDescent="0.25">
      <c r="C1370" s="2" t="s">
        <v>53</v>
      </c>
      <c r="H1370" s="16">
        <v>6.1349749708358624E-2</v>
      </c>
      <c r="J1370" s="18">
        <v>40000</v>
      </c>
    </row>
    <row r="1371" spans="2:10" ht="15.95" customHeight="1" x14ac:dyDescent="0.25">
      <c r="D1371" s="2" t="s">
        <v>95</v>
      </c>
      <c r="F1371" s="18">
        <v>40000</v>
      </c>
    </row>
    <row r="1372" spans="2:10" ht="15.95" customHeight="1" x14ac:dyDescent="0.25">
      <c r="C1372" s="2" t="s">
        <v>54</v>
      </c>
      <c r="H1372" s="16">
        <v>5.8721296369291139E-2</v>
      </c>
      <c r="J1372" s="18">
        <v>38286.25</v>
      </c>
    </row>
    <row r="1373" spans="2:10" ht="15.95" customHeight="1" x14ac:dyDescent="0.25">
      <c r="C1373" s="2" t="s">
        <v>57</v>
      </c>
      <c r="H1373" s="16">
        <v>0</v>
      </c>
    </row>
    <row r="1374" spans="2:10" ht="15.95" customHeight="1" x14ac:dyDescent="0.25">
      <c r="C1374" s="2" t="s">
        <v>58</v>
      </c>
      <c r="H1374" s="16">
        <v>0.33232564324445696</v>
      </c>
      <c r="J1374" s="18">
        <v>216676.12</v>
      </c>
    </row>
    <row r="1375" spans="2:10" ht="15.95" customHeight="1" x14ac:dyDescent="0.25">
      <c r="D1375" s="2" t="s">
        <v>97</v>
      </c>
      <c r="F1375" s="18">
        <v>20176</v>
      </c>
    </row>
    <row r="1376" spans="2:10" ht="15.95" customHeight="1" x14ac:dyDescent="0.25">
      <c r="D1376" s="2" t="s">
        <v>169</v>
      </c>
      <c r="F1376" s="18">
        <v>40000</v>
      </c>
    </row>
    <row r="1377" spans="2:10" ht="15.95" customHeight="1" x14ac:dyDescent="0.25">
      <c r="D1377" s="2" t="s">
        <v>98</v>
      </c>
      <c r="F1377" s="18">
        <v>141500.09</v>
      </c>
    </row>
    <row r="1378" spans="2:10" ht="15.95" customHeight="1" x14ac:dyDescent="0.25">
      <c r="C1378" s="2" t="s">
        <v>180</v>
      </c>
      <c r="H1378" s="16">
        <v>2.7847617651181888E-2</v>
      </c>
      <c r="J1378" s="18">
        <v>18156.63</v>
      </c>
    </row>
    <row r="1379" spans="2:10" ht="15.95" customHeight="1" x14ac:dyDescent="0.25">
      <c r="C1379" s="2" t="s">
        <v>62</v>
      </c>
      <c r="H1379" s="16">
        <v>5.8282262222940698E-4</v>
      </c>
      <c r="J1379" s="18">
        <v>380</v>
      </c>
    </row>
    <row r="1380" spans="2:10" ht="15.95" customHeight="1" x14ac:dyDescent="0.25">
      <c r="C1380" s="2" t="s">
        <v>63</v>
      </c>
      <c r="H1380" s="16">
        <v>9.9693343276082771E-2</v>
      </c>
      <c r="J1380" s="18">
        <v>65000</v>
      </c>
    </row>
    <row r="1381" spans="2:10" ht="15.95" customHeight="1" x14ac:dyDescent="0.25">
      <c r="D1381" s="2" t="s">
        <v>64</v>
      </c>
      <c r="F1381" s="18">
        <v>65000</v>
      </c>
    </row>
    <row r="1382" spans="2:10" ht="15.95" customHeight="1" x14ac:dyDescent="0.25">
      <c r="C1382" s="2" t="s">
        <v>66</v>
      </c>
      <c r="H1382" s="16">
        <v>6.3236254511890655E-3</v>
      </c>
      <c r="J1382" s="18">
        <v>4123</v>
      </c>
    </row>
    <row r="1383" spans="2:10" ht="15.95" customHeight="1" x14ac:dyDescent="0.25">
      <c r="C1383" s="2" t="s">
        <v>67</v>
      </c>
      <c r="H1383" s="16">
        <v>1.0047555258486433E-2</v>
      </c>
      <c r="J1383" s="18">
        <v>6551</v>
      </c>
    </row>
    <row r="1384" spans="2:10" ht="15.95" customHeight="1" x14ac:dyDescent="0.25">
      <c r="C1384" s="2" t="s">
        <v>102</v>
      </c>
      <c r="H1384" s="16">
        <v>1.3295104259298397E-2</v>
      </c>
      <c r="J1384" s="18">
        <v>8668.4</v>
      </c>
    </row>
    <row r="1385" spans="2:10" ht="15.95" customHeight="1" x14ac:dyDescent="0.25">
      <c r="C1385" s="2" t="s">
        <v>191</v>
      </c>
      <c r="H1385" s="16">
        <v>2.5107385068145766E-2</v>
      </c>
      <c r="J1385" s="18">
        <v>16370</v>
      </c>
    </row>
    <row r="1386" spans="2:10" ht="15.95" customHeight="1" x14ac:dyDescent="0.25">
      <c r="C1386" s="2" t="s">
        <v>130</v>
      </c>
      <c r="H1386" s="16">
        <v>3.7315985260109132E-2</v>
      </c>
      <c r="J1386" s="18">
        <v>24330</v>
      </c>
    </row>
    <row r="1387" spans="2:10" ht="15.95" customHeight="1" x14ac:dyDescent="0.25">
      <c r="C1387" s="2" t="s">
        <v>147</v>
      </c>
      <c r="H1387" s="16">
        <v>3.5352793269441657E-2</v>
      </c>
      <c r="J1387" s="18">
        <v>23050</v>
      </c>
    </row>
    <row r="1388" spans="2:10" ht="15.95" customHeight="1" x14ac:dyDescent="0.25">
      <c r="C1388" s="2" t="s">
        <v>139</v>
      </c>
      <c r="H1388" s="16">
        <v>9.8282299032790513E-3</v>
      </c>
      <c r="J1388" s="18">
        <v>6408</v>
      </c>
    </row>
    <row r="1389" spans="2:10" ht="15.95" customHeight="1" x14ac:dyDescent="0.25">
      <c r="H1389" s="16">
        <v>1</v>
      </c>
      <c r="J1389" s="18">
        <v>651999.4</v>
      </c>
    </row>
    <row r="1391" spans="2:10" ht="15.95" customHeight="1" x14ac:dyDescent="0.25">
      <c r="B1391" s="4">
        <v>4</v>
      </c>
      <c r="C1391" s="2" t="s">
        <v>70</v>
      </c>
    </row>
    <row r="1392" spans="2:10" ht="15.95" customHeight="1" x14ac:dyDescent="0.25">
      <c r="C1392" s="2" t="s">
        <v>71</v>
      </c>
      <c r="J1392" s="18">
        <v>151000</v>
      </c>
    </row>
    <row r="1393" spans="2:10" ht="15.95" customHeight="1" x14ac:dyDescent="0.25">
      <c r="D1393" s="2" t="s">
        <v>192</v>
      </c>
      <c r="F1393" s="18">
        <v>111000</v>
      </c>
      <c r="H1393" s="16">
        <v>0.73509933774834435</v>
      </c>
    </row>
    <row r="1394" spans="2:10" ht="15.95" customHeight="1" x14ac:dyDescent="0.25">
      <c r="D1394" s="2" t="s">
        <v>72</v>
      </c>
      <c r="F1394" s="18">
        <v>40000</v>
      </c>
      <c r="H1394" s="16">
        <v>0.26490066225165565</v>
      </c>
      <c r="J1394" s="18" t="s">
        <v>47</v>
      </c>
    </row>
    <row r="1395" spans="2:10" ht="15.95" customHeight="1" x14ac:dyDescent="0.25">
      <c r="H1395" s="16">
        <v>1</v>
      </c>
      <c r="J1395" s="18">
        <v>151000</v>
      </c>
    </row>
    <row r="1396" spans="2:10" ht="15.95" customHeight="1" x14ac:dyDescent="0.25">
      <c r="B1396" s="4">
        <v>4.0999999999999996</v>
      </c>
      <c r="C1396" s="2" t="s">
        <v>75</v>
      </c>
    </row>
    <row r="1397" spans="2:10" ht="15.95" customHeight="1" x14ac:dyDescent="0.25">
      <c r="C1397" s="2" t="s">
        <v>76</v>
      </c>
      <c r="H1397" s="16">
        <v>2.1899146546460791E-2</v>
      </c>
      <c r="J1397" s="18">
        <v>50000</v>
      </c>
    </row>
    <row r="1398" spans="2:10" ht="15.95" customHeight="1" x14ac:dyDescent="0.25">
      <c r="D1398" s="2" t="s">
        <v>72</v>
      </c>
      <c r="F1398" s="18">
        <v>0</v>
      </c>
      <c r="H1398" s="16" t="s">
        <v>47</v>
      </c>
      <c r="J1398" s="18" t="s">
        <v>47</v>
      </c>
    </row>
    <row r="1399" spans="2:10" ht="15.95" customHeight="1" x14ac:dyDescent="0.25">
      <c r="C1399" s="2" t="s">
        <v>77</v>
      </c>
      <c r="H1399" s="16">
        <v>0.97810085345353925</v>
      </c>
      <c r="J1399" s="18">
        <v>2233194</v>
      </c>
    </row>
    <row r="1400" spans="2:10" ht="15.95" customHeight="1" x14ac:dyDescent="0.25">
      <c r="H1400" s="16">
        <v>1</v>
      </c>
      <c r="J1400" s="18">
        <v>2283194</v>
      </c>
    </row>
    <row r="1401" spans="2:10" ht="15.95" customHeight="1" x14ac:dyDescent="0.25">
      <c r="B1401" s="4">
        <v>5</v>
      </c>
      <c r="C1401" s="2" t="s">
        <v>78</v>
      </c>
    </row>
    <row r="1402" spans="2:10" ht="15.95" customHeight="1" x14ac:dyDescent="0.25">
      <c r="C1402" s="2" t="s">
        <v>79</v>
      </c>
      <c r="J1402" s="18">
        <v>4901924.91</v>
      </c>
    </row>
    <row r="1403" spans="2:10" ht="15.95" customHeight="1" x14ac:dyDescent="0.25">
      <c r="D1403" s="2" t="s">
        <v>80</v>
      </c>
      <c r="F1403" s="18">
        <v>1500590.9800000004</v>
      </c>
      <c r="H1403" s="16">
        <v>0.3061228002368564</v>
      </c>
      <c r="J1403" s="18" t="s">
        <v>47</v>
      </c>
    </row>
    <row r="1404" spans="2:10" ht="15.95" customHeight="1" x14ac:dyDescent="0.25">
      <c r="D1404" s="2" t="s">
        <v>81</v>
      </c>
      <c r="F1404" s="18">
        <v>1327005.44</v>
      </c>
      <c r="H1404" s="16">
        <v>0.27071109092121931</v>
      </c>
      <c r="J1404" s="18" t="s">
        <v>47</v>
      </c>
    </row>
    <row r="1405" spans="2:10" ht="15.95" customHeight="1" x14ac:dyDescent="0.25">
      <c r="D1405" s="2" t="s">
        <v>84</v>
      </c>
      <c r="F1405" s="18">
        <v>368300</v>
      </c>
      <c r="H1405" s="16">
        <v>7.5133749855829587E-2</v>
      </c>
      <c r="J1405" s="18" t="s">
        <v>47</v>
      </c>
    </row>
    <row r="1406" spans="2:10" ht="15.95" customHeight="1" x14ac:dyDescent="0.25">
      <c r="D1406" s="2" t="s">
        <v>85</v>
      </c>
      <c r="H1406" s="16">
        <v>0</v>
      </c>
    </row>
    <row r="1407" spans="2:10" ht="15.95" customHeight="1" x14ac:dyDescent="0.25">
      <c r="D1407" s="2" t="s">
        <v>87</v>
      </c>
      <c r="F1407" s="18">
        <v>688295.04999999981</v>
      </c>
      <c r="H1407" s="16">
        <v>0.14041321779447655</v>
      </c>
      <c r="J1407" s="18" t="s">
        <v>47</v>
      </c>
    </row>
    <row r="1408" spans="2:10" ht="15.95" customHeight="1" x14ac:dyDescent="0.25">
      <c r="D1408" s="2" t="s">
        <v>88</v>
      </c>
      <c r="F1408" s="18">
        <v>141040</v>
      </c>
      <c r="H1408" s="16">
        <v>2.8772370566565859E-2</v>
      </c>
      <c r="J1408" s="18">
        <v>0</v>
      </c>
    </row>
    <row r="1409" spans="4:10" ht="15.95" customHeight="1" x14ac:dyDescent="0.25">
      <c r="D1409" s="2" t="s">
        <v>85</v>
      </c>
      <c r="F1409" s="18">
        <v>101662.18999999994</v>
      </c>
      <c r="H1409" s="16">
        <v>2.0739238537213728E-2</v>
      </c>
      <c r="J1409" s="18">
        <v>0</v>
      </c>
    </row>
    <row r="1410" spans="4:10" ht="15.95" customHeight="1" x14ac:dyDescent="0.25">
      <c r="D1410" s="2" t="s">
        <v>132</v>
      </c>
      <c r="F1410" s="18">
        <v>156000</v>
      </c>
      <c r="H1410" s="16">
        <v>3.1824232901193093E-2</v>
      </c>
      <c r="J1410" s="18">
        <v>0</v>
      </c>
    </row>
    <row r="1411" spans="4:10" ht="15.95" customHeight="1" x14ac:dyDescent="0.25">
      <c r="D1411" s="2" t="s">
        <v>157</v>
      </c>
      <c r="F1411" s="18">
        <v>152480</v>
      </c>
      <c r="H1411" s="16">
        <v>3.1106147645986685E-2</v>
      </c>
      <c r="J1411" s="18">
        <v>0</v>
      </c>
    </row>
    <row r="1412" spans="4:10" ht="15.95" customHeight="1" x14ac:dyDescent="0.25">
      <c r="D1412" s="2" t="s">
        <v>89</v>
      </c>
      <c r="F1412" s="18">
        <v>185767</v>
      </c>
      <c r="H1412" s="16">
        <v>3.7896745342025237E-2</v>
      </c>
      <c r="J1412" s="18">
        <v>0</v>
      </c>
    </row>
    <row r="1413" spans="4:10" ht="15.95" customHeight="1" x14ac:dyDescent="0.25">
      <c r="D1413" s="2" t="s">
        <v>181</v>
      </c>
      <c r="F1413" s="18">
        <v>17456</v>
      </c>
      <c r="H1413" s="16">
        <v>3.5610500610463247E-3</v>
      </c>
      <c r="J1413" s="18">
        <v>0</v>
      </c>
    </row>
    <row r="1414" spans="4:10" ht="15.95" customHeight="1" x14ac:dyDescent="0.25">
      <c r="D1414" s="2" t="s">
        <v>11</v>
      </c>
      <c r="F1414" s="18">
        <v>139505</v>
      </c>
      <c r="H1414" s="16">
        <v>2.8459228274877835E-2</v>
      </c>
      <c r="J1414" s="18">
        <v>0</v>
      </c>
    </row>
    <row r="1415" spans="4:10" ht="15.95" customHeight="1" x14ac:dyDescent="0.25">
      <c r="D1415" s="2" t="s">
        <v>193</v>
      </c>
      <c r="F1415" s="18">
        <v>47040</v>
      </c>
      <c r="H1415" s="16">
        <v>9.5962302286674555E-3</v>
      </c>
      <c r="J1415" s="18">
        <v>0</v>
      </c>
    </row>
    <row r="1416" spans="4:10" ht="15.95" customHeight="1" x14ac:dyDescent="0.25">
      <c r="D1416" s="2" t="s">
        <v>194</v>
      </c>
      <c r="F1416" s="18">
        <v>4781.25</v>
      </c>
      <c r="H1416" s="16">
        <v>9.753821381976249E-4</v>
      </c>
      <c r="J1416" s="18">
        <v>0</v>
      </c>
    </row>
    <row r="1417" spans="4:10" ht="15.95" customHeight="1" x14ac:dyDescent="0.25">
      <c r="D1417" s="2" t="s">
        <v>131</v>
      </c>
      <c r="F1417" s="18">
        <v>72002</v>
      </c>
      <c r="H1417" s="16">
        <v>1.4688515495844264E-2</v>
      </c>
      <c r="J1417" s="18">
        <v>0</v>
      </c>
    </row>
    <row r="1418" spans="4:10" ht="15.95" customHeight="1" x14ac:dyDescent="0.25">
      <c r="H1418" s="16">
        <v>0.99999999999999989</v>
      </c>
      <c r="J1418" s="18">
        <v>4901924.91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2234-9BA6-4B98-AB74-85990BEA0E99}">
  <dimension ref="A1:C9"/>
  <sheetViews>
    <sheetView topLeftCell="A4" workbookViewId="0">
      <selection activeCell="E19" sqref="E19"/>
    </sheetView>
  </sheetViews>
  <sheetFormatPr defaultRowHeight="15" x14ac:dyDescent="0.25"/>
  <cols>
    <col min="1" max="1" width="17.7109375" bestFit="1" customWidth="1"/>
    <col min="2" max="2" width="11.28515625" bestFit="1" customWidth="1"/>
    <col min="3" max="3" width="12" customWidth="1"/>
  </cols>
  <sheetData>
    <row r="1" spans="1:3" ht="30" x14ac:dyDescent="0.25">
      <c r="A1" s="153" t="s">
        <v>470</v>
      </c>
      <c r="B1" s="154" t="s">
        <v>471</v>
      </c>
      <c r="C1" s="155" t="s">
        <v>472</v>
      </c>
    </row>
    <row r="2" spans="1:3" x14ac:dyDescent="0.25">
      <c r="A2" s="156" t="s">
        <v>473</v>
      </c>
      <c r="B2" s="12" t="s">
        <v>474</v>
      </c>
      <c r="C2" s="157">
        <v>731</v>
      </c>
    </row>
    <row r="3" spans="1:3" x14ac:dyDescent="0.25">
      <c r="A3" s="156" t="s">
        <v>475</v>
      </c>
      <c r="B3" s="12" t="s">
        <v>476</v>
      </c>
      <c r="C3" s="157">
        <v>1597.7</v>
      </c>
    </row>
    <row r="4" spans="1:3" x14ac:dyDescent="0.25">
      <c r="A4" s="156" t="s">
        <v>477</v>
      </c>
      <c r="B4" s="12" t="s">
        <v>478</v>
      </c>
      <c r="C4" s="157">
        <v>2977</v>
      </c>
    </row>
    <row r="5" spans="1:3" x14ac:dyDescent="0.25">
      <c r="A5" s="156" t="s">
        <v>479</v>
      </c>
      <c r="B5" s="12" t="s">
        <v>480</v>
      </c>
      <c r="C5" s="157">
        <v>832</v>
      </c>
    </row>
    <row r="6" spans="1:3" x14ac:dyDescent="0.25">
      <c r="A6" s="158" t="s">
        <v>481</v>
      </c>
      <c r="B6" s="159" t="s">
        <v>482</v>
      </c>
      <c r="C6" s="160">
        <v>1544</v>
      </c>
    </row>
    <row r="7" spans="1:3" x14ac:dyDescent="0.25">
      <c r="A7" s="158" t="s">
        <v>483</v>
      </c>
      <c r="B7" s="159">
        <v>3200</v>
      </c>
      <c r="C7" s="160">
        <v>1277</v>
      </c>
    </row>
    <row r="8" spans="1:3" x14ac:dyDescent="0.25">
      <c r="A8" s="158" t="s">
        <v>469</v>
      </c>
      <c r="B8" s="159" t="s">
        <v>484</v>
      </c>
      <c r="C8" s="160">
        <v>240</v>
      </c>
    </row>
    <row r="9" spans="1:3" x14ac:dyDescent="0.25">
      <c r="A9" s="12" t="s">
        <v>485</v>
      </c>
      <c r="B9" s="12">
        <v>800</v>
      </c>
      <c r="C9" s="12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CGS</vt:lpstr>
      <vt:lpstr>Manufacturing Cost Data</vt:lpstr>
      <vt:lpstr>Notes</vt:lpstr>
      <vt:lpstr>Items Name &amp;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2026-01-05T07:49:27Z</dcterms:created>
  <dcterms:modified xsi:type="dcterms:W3CDTF">2026-01-20T07:26:58Z</dcterms:modified>
</cp:coreProperties>
</file>